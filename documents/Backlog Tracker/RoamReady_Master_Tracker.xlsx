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rack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<sst xmlns="http://schemas.openxmlformats.org/spreadsheetml/2006/main" count="220" uniqueCount="143">
  <si>
    <t xml:space="preserve">RoamReady — Master Bug/Todo Tracker (combined • Verified 06-02 against main)</t>
  </si>
  <si>
    <t xml:space="preserve">Combines the original tracker (full item set + Type/Area/Source) with the 06-02 read-only CC audit verdicts. DONE/PARTIAL/OPEN reflect code-presence in current main. 'Eyeball/Device' = needs runtime/device check. Items with no audit coverage keep their pre-audit status.</t>
  </si>
  <si>
    <t xml:space="preserve">ID</t>
  </si>
  <si>
    <t xml:space="preserve">Priority</t>
  </si>
  <si>
    <t xml:space="preserve">Item</t>
  </si>
  <si>
    <t xml:space="preserve">Type / Area</t>
  </si>
  <si>
    <t xml:space="preserve">Status</t>
  </si>
  <si>
    <t xml:space="preserve">Verify next</t>
  </si>
  <si>
    <t xml:space="preserve">Source</t>
  </si>
  <si>
    <t xml:space="preserve">Notes / location &amp; what remains</t>
  </si>
  <si>
    <t xml:space="preserve">LB-1</t>
  </si>
  <si>
    <t xml:space="preserve">P0</t>
  </si>
  <si>
    <t xml:space="preserve">PDF lazy-loading (code-split out of main bundle)</t>
  </si>
  <si>
    <t xml:space="preserve">Perf / Build</t>
  </si>
  <si>
    <t xml:space="preserve">DONE</t>
  </si>
  <si>
    <t xml:space="preserve">—</t>
  </si>
  <si>
    <t xml:space="preserve">LAUNCH_STATUS #1</t>
  </si>
  <si>
    <t xml:space="preserve">Dynamic import @react-pdf/renderer; TripMapPage:1412 / TripSummaryPage:764. No static path into main bundle. Confirmed 06-02.</t>
  </si>
  <si>
    <t xml:space="preserve">LB-2</t>
  </si>
  <si>
    <t xml:space="preserve">updateTrip footgun — schema allowed raw date writes</t>
  </si>
  <si>
    <t xml:space="preserve">Bug / Schema</t>
  </si>
  <si>
    <t xml:space="preserve">LAUNCH_STATUS #2</t>
  </si>
  <si>
    <t xml:space="preserve">startDate/endDate/totalNights absent from TripUpdateSchema; .strict() at trip.ts:65. Confirmed 06-02.</t>
  </si>
  <si>
    <t xml:space="preserve">LB-3</t>
  </si>
  <si>
    <t xml:space="preserve">Modify-AI long-conversation tag-loss</t>
  </si>
  <si>
    <t xml:space="preserve">Bug / AI</t>
  </si>
  <si>
    <t xml:space="preserve">Runtime re-verify</t>
  </si>
  <si>
    <t xml:space="preserve">LAUNCH_STATUS #3 / 05-23</t>
  </si>
  <si>
    <t xml:space="preserve">annotateAppliedModify ai.ts:449; tagless auto-retry 604-679; amber notice ModifyTripPanel:625. Highest-stakes AI path — confirm runtime.</t>
  </si>
  <si>
    <t xml:space="preserve">LB-4</t>
  </si>
  <si>
    <t xml:space="preserve">Weather live forecast — forecast_days + .split() bug</t>
  </si>
  <si>
    <t xml:space="preserve">Bug / Weather</t>
  </si>
  <si>
    <t xml:space="preserve">LAUNCH_STATUS #4</t>
  </si>
  <si>
    <t xml:space="preserve">No .split('T')[0] in live branch; anchor fallback parseTripDate trips.ts:1935-1936. Confirmed 06-02.</t>
  </si>
  <si>
    <t xml:space="preserve">LB-5</t>
  </si>
  <si>
    <t xml:space="preserve">Weather per-stop live→historical fallback</t>
  </si>
  <si>
    <t xml:space="preserve">LAUNCH_STATUS #5</t>
  </si>
  <si>
    <t xml:space="preserve">LIVE_WINDOW_END_DAYS=15 trips.ts:1908; per-stop fitness vs liveWindowEnd + modeMatch. Confirmed 06-02.</t>
  </si>
  <si>
    <t xml:space="preserve">LB-6</t>
  </si>
  <si>
    <t xml:space="preserve">aiConversation silent 400 — dead write + stale query</t>
  </si>
  <si>
    <t xml:space="preserve">LAUNCH_STATUS #6</t>
  </si>
  <si>
    <t xml:space="preserve">Dead client write removed SessionPage:664-674; surprise-trip exclusion reads PlanningSession.messages ai.ts:560-586. Confirm runtime (user-visible if regressed).</t>
  </si>
  <si>
    <t xml:space="preserve">LB-11</t>
  </si>
  <si>
    <t xml:space="preserve">UTC-midnight arrival timezone artifact</t>
  </si>
  <si>
    <t xml:space="preserve">LAUNCH_STATUS #11</t>
  </si>
  <si>
    <t xml:space="preserve">parseTripDate dates.ts:67; used trip-anchor 1935 + per-stop 1973. Confirmed 06-02.</t>
  </si>
  <si>
    <t xml:space="preserve">EV-1</t>
  </si>
  <si>
    <t xml:space="preserve">P1</t>
  </si>
  <si>
    <t xml:space="preserve">Email verification</t>
  </si>
  <si>
    <t xml:space="preserve">Feature / Auth</t>
  </si>
  <si>
    <t xml:space="preserve">memory / RR22</t>
  </si>
  <si>
    <t xml:space="preserve">WAS OPEN→now DONE. Fully enforced: requireVerifiedEmail middleware on ~10 route groups; controllers/services; VerifyEmailPage + Gate; migration 20260511. No longer a launch question.</t>
  </si>
  <si>
    <t xml:space="preserve">TM-1</t>
  </si>
  <si>
    <t xml:space="preserve">Map route polyline doesn't recompute when AI adds stop</t>
  </si>
  <si>
    <t xml:space="preserve">Bug / Trip Map</t>
  </si>
  <si>
    <t xml:space="preserve">Eyeball (runtime)</t>
  </si>
  <si>
    <t xml:space="preserve">recap 05-27 #1</t>
  </si>
  <si>
    <t xml:space="preserve">WAS OPEN→now DONE. Hot-swap onTripUpdated→setTrip TripMapPage:2302-2305; coords-keyed directions effect 903-905. Confirm via click-through.</t>
  </si>
  <si>
    <t xml:space="preserve">AUDIT-1</t>
  </si>
  <si>
    <t xml:space="preserve">Systematic capture-vs-display field audit</t>
  </si>
  <si>
    <t xml:space="preserve">Audit / Whole app</t>
  </si>
  <si>
    <t xml:space="preserve">PARTIAL</t>
  </si>
  <si>
    <t xml:space="preserve">Dedicated pass</t>
  </si>
  <si>
    <t xml:space="preserve">recap 05-27</t>
  </si>
  <si>
    <t xml:space="preserve">Rate cluster narrowed (actualRate ?? siteRate consistent); locationName canonical. campgroundName/locationName clusters NOT certified. Needs the full walk-every-page pass — still real work.</t>
  </si>
  <si>
    <t xml:space="preserve">TM-2</t>
  </si>
  <si>
    <t xml:space="preserve">P2</t>
  </si>
  <si>
    <t xml:space="preserve">Map popup shows estimated rate, not actual after booking</t>
  </si>
  <si>
    <t xml:space="preserve">recap 05-27 #2</t>
  </si>
  <si>
    <t xml:space="preserve">WAS OPEN→now DONE. displayRate = actualRate ?? siteRate TripMapPage:227 (bdb4192 pattern).</t>
  </si>
  <si>
    <t xml:space="preserve">TM-4</t>
  </si>
  <si>
    <t xml:space="preserve">'Start trip' / ACTIVE status behavior</t>
  </si>
  <si>
    <t xml:space="preserve">Scout / Trip Map</t>
  </si>
  <si>
    <t xml:space="preserve">recap 05-27 #4</t>
  </si>
  <si>
    <t xml:space="preserve">CLARIFIED — cosmetic only. ACTIVE = schema enum + display badge (1769/1773) + dashboard grouping. No functional ACTIVE-only behavior; no Start-trip mutation. Nothing to fix.</t>
  </si>
  <si>
    <t xml:space="preserve">TM-5</t>
  </si>
  <si>
    <t xml:space="preserve">Weather sub-tab non-interactive</t>
  </si>
  <si>
    <t xml:space="preserve">recap 05-27 #5</t>
  </si>
  <si>
    <t xml:space="preserve">WAS SCOUT→now DONE (wired). SidebarWeatherTab renders StopWeatherCard per stop from getWeather; forecasts shown inline (no click affordance by design). Confirm runtime.</t>
  </si>
  <si>
    <t xml:space="preserve">IOS-1</t>
  </si>
  <si>
    <t xml:space="preserve">iOS Safari zoom-stuck bug</t>
  </si>
  <si>
    <t xml:space="preserve">Bug / Mobile</t>
  </si>
  <si>
    <t xml:space="preserve">CAN'T TELL</t>
  </si>
  <si>
    <t xml:space="preserve">Device repro</t>
  </si>
  <si>
    <t xml:space="preserve">Viewport meta correct (no maximum-scale/user-scalable=no); 16px inputs. No code-level signal of residual bug. Needs real-device reproduction. Affects core mobile users.</t>
  </si>
  <si>
    <t xml:space="preserve">TM-3</t>
  </si>
  <si>
    <t xml:space="preserve">P3</t>
  </si>
  <si>
    <t xml:space="preserve">'Book campgrounds' button hover state</t>
  </si>
  <si>
    <t xml:space="preserve">Cosmetic / Trip Map</t>
  </si>
  <si>
    <t xml:space="preserve">recap 05-27 #3</t>
  </si>
  <si>
    <t xml:space="preserve">WAS OPEN→now DONE. Hover variants both states: L1859 (all-booked) / L1867 (in-progress).</t>
  </si>
  <si>
    <t xml:space="preserve">PW-1</t>
  </si>
  <si>
    <t xml:space="preserve">Dead feature-gates (rigCompatibilityFilter / aiPlannerUnlimited)</t>
  </si>
  <si>
    <t xml:space="preserve">Cleanup / Paywall</t>
  </si>
  <si>
    <t xml:space="preserve">Decide wire/delete</t>
  </si>
  <si>
    <t xml:space="preserve">recap 05-23</t>
  </si>
  <si>
    <t xml:space="preserve">SPLIT. aiPlannerUnlimited WIRED/enforced (ai.ts:26-37, trips.ts:63-67, 403→paywall). rigCompatibilityFilter still cosmetic — no requireFeature/hasAccess. Wire it or delete from both gate tables.</t>
  </si>
  <si>
    <t xml:space="preserve">PW-2</t>
  </si>
  <si>
    <t xml:space="preserve">Extract TRIAL_DURATION_MS constant</t>
  </si>
  <si>
    <t xml:space="preserve">OPEN</t>
  </si>
  <si>
    <t xml:space="preserve">STILL OPEN. 7*24*60*60*1000 duplicated at auth.ts:86 + passport.ts:38. No constant. Drift risk, not a bug.</t>
  </si>
  <si>
    <t xml:space="preserve">PW-3</t>
  </si>
  <si>
    <t xml:space="preserve">Two parallel FEATURE_GATES tables (server+client)</t>
  </si>
  <si>
    <t xml:space="preserve">STILL OPEN. Hand-synced tables middleware/auth.ts + store/authStore.ts. Extract a shared module. Drift risk, not a bug.</t>
  </si>
  <si>
    <t xml:space="preserve">AI-1</t>
  </si>
  <si>
    <t xml:space="preserve">P4</t>
  </si>
  <si>
    <t xml:space="preserve">Meter AI for free/trial users (usage count + free limit)</t>
  </si>
  <si>
    <t xml:space="preserve">Feature / AI</t>
  </si>
  <si>
    <t xml:space="preserve">recap 05-23 / memory</t>
  </si>
  <si>
    <t xml:space="preserve">Confirmed by design: AI hard-gated via requireFeature('aiPlannerUnlimited'); hasAccess true only PRO/active trial. AIUsageLog = cost tracking only, no count gate. Best built against real usage data. Deferred.</t>
  </si>
  <si>
    <t xml:space="preserve">OHV-CHECK</t>
  </si>
  <si>
    <t xml:space="preserve">OHV link-checker — activation</t>
  </si>
  <si>
    <t xml:space="preserve">Ops / OHV</t>
  </si>
  <si>
    <t xml:space="preserve">Wire scheduler</t>
  </si>
  <si>
    <t xml:space="preserve">this session / LS #17</t>
  </si>
  <si>
    <t xml:space="preserve">Three-state checker (OK/DEAD/REVIEW) BUILT+merged on main, commit b507861; cron emails on DEAD/REVIEW. DORMANT — not scheduled (external trigger unwired). To activate: wire monthly cron + smoke-test a known 404.</t>
  </si>
  <si>
    <t xml:space="preserve">OHV-LAZY</t>
  </si>
  <si>
    <t xml:space="preserve">Code-split OhvDestinationsPage with lazy()</t>
  </si>
  <si>
    <t xml:space="preserve">Perf / OHV</t>
  </si>
  <si>
    <t xml:space="preserve">this session / LS #15</t>
  </si>
  <si>
    <t xml:space="preserve">STILL BACKLOG. App.tsx:48 static import; route L173 not lazy(). First-app-load only; per-visit load already fixed.</t>
  </si>
  <si>
    <t xml:space="preserve">OHV-RETAIN</t>
  </si>
  <si>
    <t xml:space="preserve">Client-side OHV result retention</t>
  </si>
  <si>
    <t xml:space="preserve">this session / LS #16</t>
  </si>
  <si>
    <t xml:space="preserve">STILL BACKLOG. No sessionStorage/store retention in OhvDestinationsPage.tsx. Cache last GPS+result for instant back-nav. Nice-to-have.</t>
  </si>
  <si>
    <t xml:space="preserve">OHV-POC</t>
  </si>
  <si>
    <t xml:space="preserve">OHV Destinations real data POC (directions/pass/fee)</t>
  </si>
  <si>
    <t xml:space="preserve">Feature / OHV</t>
  </si>
  <si>
    <t xml:space="preserve">memory / RR21-22</t>
  </si>
  <si>
    <t xml:space="preserve">NOT in 06-02 audit scope. Page still only resource links (metadata was hardcoded). Recreation.gov scout was in progress. Build real data once scout evaluated.</t>
  </si>
  <si>
    <t xml:space="preserve">OHV-TRIP</t>
  </si>
  <si>
    <t xml:space="preserve">OHV add-to-trip</t>
  </si>
  <si>
    <t xml:space="preserve">NOT in 06-02 audit scope. Let users add an OHV destination into a trip. Deferred feature.</t>
  </si>
  <si>
    <t xml:space="preserve">BOOK-WAVE</t>
  </si>
  <si>
    <t xml:space="preserve">Full booking modal wave (conf #, site #, hookup, rate, etc.)</t>
  </si>
  <si>
    <t xml:space="preserve">Feature / Booking</t>
  </si>
  <si>
    <t xml:space="preserve">memory</t>
  </si>
  <si>
    <t xml:space="preserve">NOT in 06-02 audit scope. Larger booking feature set (gate code, notes, edit/cancel, conflict detection). Post-launch.</t>
  </si>
  <si>
    <t xml:space="preserve">Status roll-up (Verified 06-02)</t>
  </si>
  <si>
    <t xml:space="preserve">Count</t>
  </si>
  <si>
    <t xml:space="preserve">TOTAL</t>
  </si>
  <si>
    <t xml:space="preserve">Note:</t>
  </si>
  <si>
    <t xml:space="preserve">3 P4 items (OHV-POC, OHV-TRIP, BOOK-WAVE) carried over from original tracker were NOT in audit scope — status is pre-audit.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</si>
</sst>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3E5540"/>
        <bgColor rgb="FF555555"/>
      </patternFill>
    </fill>
    <fill>
      <patternFill patternType="solid">
        <fgColor rgb="FFF5F4F2"/>
        <bgColor rgb="FFFFFFFF"/>
      </patternFill>
    </fill>
    <fill>
      <patternFill patternType="solid">
        <fgColor rgb="FFF59E0B"/>
        <bgColor rgb="FFF7A829"/>
      </patternFill>
    </fill>
    <fill>
      <patternFill patternType="solid">
        <fgColor rgb="FF9AA0A6"/>
        <bgColor rgb="FF9999FF"/>
      </patternFill>
    </fill>
    <fill>
      <patternFill patternType="solid">
        <fgColor rgb="FFF7A829"/>
        <bgColor rgb="FFF59E0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E4DA"/>
      </left>
      <right style="thin">
        <color rgb="FFE8E4DA"/>
      </right>
      <top style="thin">
        <color rgb="FFE8E4DA"/>
      </top>
      <bottom style="thin">
        <color rgb="FFE8E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C0C0C0"/>
      <rgbColor rgb="FF808080"/>
      <rgbColor rgb="FF9999FF"/>
      <rgbColor rgb="FF993366"/>
      <rgbColor rgb="FFF5F4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4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7A829"/>
      <rgbColor rgb="FFF59E0B"/>
      <rgbColor rgb="FFFF6600"/>
      <rgbColor rgb="FF555555"/>
      <rgbColor rgb="FF9AA0A6"/>
      <rgbColor rgb="FF003366"/>
      <rgbColor rgb="FF339966"/>
      <rgbColor rgb="FF003300"/>
      <rgbColor rgb="FF333300"/>
      <rgbColor rgb="FF993300"/>
      <rgbColor rgb="FF993366"/>
      <rgbColor rgb="FF333399"/>
      <rgbColor rgb="FF3E5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6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3.85" hidden="false" customHeight="false" outlineLevel="0" collapsed="false">
      <c r="A4" s="4" t="s">
        <v>10</v>
      </c>
      <c r="B4" s="5" t="s">
        <v>11</v>
      </c>
      <c r="C4" s="6" t="s">
        <v>12</v>
      </c>
      <c r="D4" s="6" t="s">
        <v>13</v>
      </c>
      <c r="E4" s="3" t="s">
        <v>14</v>
      </c>
      <c r="F4" s="5" t="s">
        <v>15</v>
      </c>
      <c r="G4" s="6" t="s">
        <v>16</v>
      </c>
      <c r="H4" s="6" t="s">
        <v>17</v>
      </c>
    </row>
    <row r="5" customFormat="false" ht="23.85" hidden="false" customHeight="false" outlineLevel="0" collapsed="false">
      <c r="A5" s="7" t="s">
        <v>18</v>
      </c>
      <c r="B5" s="8" t="s">
        <v>11</v>
      </c>
      <c r="C5" s="9" t="s">
        <v>19</v>
      </c>
      <c r="D5" s="9" t="s">
        <v>20</v>
      </c>
      <c r="E5" s="3" t="s">
        <v>14</v>
      </c>
      <c r="F5" s="8" t="s">
        <v>15</v>
      </c>
      <c r="G5" s="9" t="s">
        <v>21</v>
      </c>
      <c r="H5" s="9" t="s">
        <v>22</v>
      </c>
    </row>
    <row r="6" customFormat="false" ht="23.85" hidden="false" customHeight="false" outlineLevel="0" collapsed="false">
      <c r="A6" s="4" t="s">
        <v>23</v>
      </c>
      <c r="B6" s="5" t="s">
        <v>11</v>
      </c>
      <c r="C6" s="6" t="s">
        <v>24</v>
      </c>
      <c r="D6" s="6" t="s">
        <v>25</v>
      </c>
      <c r="E6" s="3" t="s">
        <v>14</v>
      </c>
      <c r="F6" s="5" t="s">
        <v>26</v>
      </c>
      <c r="G6" s="6" t="s">
        <v>27</v>
      </c>
      <c r="H6" s="6" t="s">
        <v>28</v>
      </c>
    </row>
    <row r="7" customFormat="false" ht="23.85" hidden="false" customHeight="false" outlineLevel="0" collapsed="false">
      <c r="A7" s="7" t="s">
        <v>29</v>
      </c>
      <c r="B7" s="8" t="s">
        <v>11</v>
      </c>
      <c r="C7" s="9" t="s">
        <v>30</v>
      </c>
      <c r="D7" s="9" t="s">
        <v>31</v>
      </c>
      <c r="E7" s="3" t="s">
        <v>14</v>
      </c>
      <c r="F7" s="8" t="s">
        <v>15</v>
      </c>
      <c r="G7" s="9" t="s">
        <v>32</v>
      </c>
      <c r="H7" s="9" t="s">
        <v>33</v>
      </c>
    </row>
    <row r="8" customFormat="false" ht="23.85" hidden="false" customHeight="false" outlineLevel="0" collapsed="false">
      <c r="A8" s="4" t="s">
        <v>34</v>
      </c>
      <c r="B8" s="5" t="s">
        <v>11</v>
      </c>
      <c r="C8" s="6" t="s">
        <v>35</v>
      </c>
      <c r="D8" s="6" t="s">
        <v>31</v>
      </c>
      <c r="E8" s="3" t="s">
        <v>14</v>
      </c>
      <c r="F8" s="5" t="s">
        <v>15</v>
      </c>
      <c r="G8" s="6" t="s">
        <v>36</v>
      </c>
      <c r="H8" s="6" t="s">
        <v>37</v>
      </c>
    </row>
    <row r="9" customFormat="false" ht="35.05" hidden="false" customHeight="false" outlineLevel="0" collapsed="false">
      <c r="A9" s="7" t="s">
        <v>38</v>
      </c>
      <c r="B9" s="8" t="s">
        <v>11</v>
      </c>
      <c r="C9" s="9" t="s">
        <v>39</v>
      </c>
      <c r="D9" s="9" t="s">
        <v>25</v>
      </c>
      <c r="E9" s="3" t="s">
        <v>14</v>
      </c>
      <c r="F9" s="8" t="s">
        <v>26</v>
      </c>
      <c r="G9" s="9" t="s">
        <v>40</v>
      </c>
      <c r="H9" s="9" t="s">
        <v>41</v>
      </c>
    </row>
    <row r="10" customFormat="false" ht="23.85" hidden="false" customHeight="false" outlineLevel="0" collapsed="false">
      <c r="A10" s="4" t="s">
        <v>42</v>
      </c>
      <c r="B10" s="5" t="s">
        <v>11</v>
      </c>
      <c r="C10" s="6" t="s">
        <v>43</v>
      </c>
      <c r="D10" s="6" t="s">
        <v>31</v>
      </c>
      <c r="E10" s="3" t="s">
        <v>14</v>
      </c>
      <c r="F10" s="5" t="s">
        <v>15</v>
      </c>
      <c r="G10" s="6" t="s">
        <v>44</v>
      </c>
      <c r="H10" s="6" t="s">
        <v>45</v>
      </c>
    </row>
    <row r="11" customFormat="false" ht="35.05" hidden="false" customHeight="false" outlineLevel="0" collapsed="false">
      <c r="A11" s="7" t="s">
        <v>46</v>
      </c>
      <c r="B11" s="8" t="s">
        <v>47</v>
      </c>
      <c r="C11" s="9" t="s">
        <v>48</v>
      </c>
      <c r="D11" s="9" t="s">
        <v>49</v>
      </c>
      <c r="E11" s="3" t="s">
        <v>14</v>
      </c>
      <c r="F11" s="8" t="s">
        <v>15</v>
      </c>
      <c r="G11" s="9" t="s">
        <v>50</v>
      </c>
      <c r="H11" s="9" t="s">
        <v>51</v>
      </c>
    </row>
    <row r="12" customFormat="false" ht="35.05" hidden="false" customHeight="false" outlineLevel="0" collapsed="false">
      <c r="A12" s="4" t="s">
        <v>52</v>
      </c>
      <c r="B12" s="5" t="s">
        <v>47</v>
      </c>
      <c r="C12" s="6" t="s">
        <v>53</v>
      </c>
      <c r="D12" s="6" t="s">
        <v>54</v>
      </c>
      <c r="E12" s="3" t="s">
        <v>14</v>
      </c>
      <c r="F12" s="5" t="s">
        <v>55</v>
      </c>
      <c r="G12" s="6" t="s">
        <v>56</v>
      </c>
      <c r="H12" s="6" t="s">
        <v>57</v>
      </c>
    </row>
    <row r="13" customFormat="false" ht="35.05" hidden="false" customHeight="false" outlineLevel="0" collapsed="false">
      <c r="A13" s="7" t="s">
        <v>58</v>
      </c>
      <c r="B13" s="8" t="s">
        <v>47</v>
      </c>
      <c r="C13" s="9" t="s">
        <v>59</v>
      </c>
      <c r="D13" s="9" t="s">
        <v>60</v>
      </c>
      <c r="E13" s="10" t="s">
        <v>61</v>
      </c>
      <c r="F13" s="8" t="s">
        <v>62</v>
      </c>
      <c r="G13" s="9" t="s">
        <v>63</v>
      </c>
      <c r="H13" s="9" t="s">
        <v>64</v>
      </c>
    </row>
    <row r="14" customFormat="false" ht="23.85" hidden="false" customHeight="false" outlineLevel="0" collapsed="false">
      <c r="A14" s="4" t="s">
        <v>65</v>
      </c>
      <c r="B14" s="5" t="s">
        <v>66</v>
      </c>
      <c r="C14" s="6" t="s">
        <v>67</v>
      </c>
      <c r="D14" s="6" t="s">
        <v>54</v>
      </c>
      <c r="E14" s="3" t="s">
        <v>14</v>
      </c>
      <c r="F14" s="5" t="s">
        <v>15</v>
      </c>
      <c r="G14" s="6" t="s">
        <v>68</v>
      </c>
      <c r="H14" s="6" t="s">
        <v>69</v>
      </c>
    </row>
    <row r="15" customFormat="false" ht="35.05" hidden="false" customHeight="false" outlineLevel="0" collapsed="false">
      <c r="A15" s="7" t="s">
        <v>70</v>
      </c>
      <c r="B15" s="8" t="s">
        <v>66</v>
      </c>
      <c r="C15" s="9" t="s">
        <v>71</v>
      </c>
      <c r="D15" s="9" t="s">
        <v>72</v>
      </c>
      <c r="E15" s="3" t="s">
        <v>14</v>
      </c>
      <c r="F15" s="8" t="s">
        <v>15</v>
      </c>
      <c r="G15" s="9" t="s">
        <v>73</v>
      </c>
      <c r="H15" s="9" t="s">
        <v>74</v>
      </c>
    </row>
    <row r="16" customFormat="false" ht="35.05" hidden="false" customHeight="false" outlineLevel="0" collapsed="false">
      <c r="A16" s="4" t="s">
        <v>75</v>
      </c>
      <c r="B16" s="5" t="s">
        <v>66</v>
      </c>
      <c r="C16" s="6" t="s">
        <v>76</v>
      </c>
      <c r="D16" s="6" t="s">
        <v>31</v>
      </c>
      <c r="E16" s="3" t="s">
        <v>14</v>
      </c>
      <c r="F16" s="5" t="s">
        <v>55</v>
      </c>
      <c r="G16" s="6" t="s">
        <v>77</v>
      </c>
      <c r="H16" s="6" t="s">
        <v>78</v>
      </c>
    </row>
    <row r="17" customFormat="false" ht="35.05" hidden="false" customHeight="false" outlineLevel="0" collapsed="false">
      <c r="A17" s="7" t="s">
        <v>79</v>
      </c>
      <c r="B17" s="8" t="s">
        <v>66</v>
      </c>
      <c r="C17" s="9" t="s">
        <v>80</v>
      </c>
      <c r="D17" s="9" t="s">
        <v>81</v>
      </c>
      <c r="E17" s="11" t="s">
        <v>82</v>
      </c>
      <c r="F17" s="8" t="s">
        <v>83</v>
      </c>
      <c r="G17" s="9" t="s">
        <v>50</v>
      </c>
      <c r="H17" s="9" t="s">
        <v>84</v>
      </c>
    </row>
    <row r="18" customFormat="false" ht="23.85" hidden="false" customHeight="false" outlineLevel="0" collapsed="false">
      <c r="A18" s="4" t="s">
        <v>85</v>
      </c>
      <c r="B18" s="5" t="s">
        <v>86</v>
      </c>
      <c r="C18" s="6" t="s">
        <v>87</v>
      </c>
      <c r="D18" s="6" t="s">
        <v>88</v>
      </c>
      <c r="E18" s="3" t="s">
        <v>14</v>
      </c>
      <c r="F18" s="5" t="s">
        <v>15</v>
      </c>
      <c r="G18" s="6" t="s">
        <v>89</v>
      </c>
      <c r="H18" s="6" t="s">
        <v>90</v>
      </c>
    </row>
    <row r="19" customFormat="false" ht="35.05" hidden="false" customHeight="false" outlineLevel="0" collapsed="false">
      <c r="A19" s="7" t="s">
        <v>91</v>
      </c>
      <c r="B19" s="8" t="s">
        <v>86</v>
      </c>
      <c r="C19" s="9" t="s">
        <v>92</v>
      </c>
      <c r="D19" s="9" t="s">
        <v>93</v>
      </c>
      <c r="E19" s="10" t="s">
        <v>61</v>
      </c>
      <c r="F19" s="8" t="s">
        <v>94</v>
      </c>
      <c r="G19" s="9" t="s">
        <v>95</v>
      </c>
      <c r="H19" s="9" t="s">
        <v>96</v>
      </c>
    </row>
    <row r="20" customFormat="false" ht="23.85" hidden="false" customHeight="false" outlineLevel="0" collapsed="false">
      <c r="A20" s="4" t="s">
        <v>97</v>
      </c>
      <c r="B20" s="5" t="s">
        <v>86</v>
      </c>
      <c r="C20" s="6" t="s">
        <v>98</v>
      </c>
      <c r="D20" s="6" t="s">
        <v>93</v>
      </c>
      <c r="E20" s="12" t="s">
        <v>99</v>
      </c>
      <c r="F20" s="5" t="s">
        <v>15</v>
      </c>
      <c r="G20" s="6" t="s">
        <v>95</v>
      </c>
      <c r="H20" s="6" t="s">
        <v>100</v>
      </c>
    </row>
    <row r="21" customFormat="false" ht="23.85" hidden="false" customHeight="false" outlineLevel="0" collapsed="false">
      <c r="A21" s="7" t="s">
        <v>101</v>
      </c>
      <c r="B21" s="8" t="s">
        <v>86</v>
      </c>
      <c r="C21" s="9" t="s">
        <v>102</v>
      </c>
      <c r="D21" s="9" t="s">
        <v>93</v>
      </c>
      <c r="E21" s="12" t="s">
        <v>99</v>
      </c>
      <c r="F21" s="8" t="s">
        <v>15</v>
      </c>
      <c r="G21" s="9" t="s">
        <v>95</v>
      </c>
      <c r="H21" s="9" t="s">
        <v>103</v>
      </c>
    </row>
    <row r="22" customFormat="false" ht="35.05" hidden="false" customHeight="false" outlineLevel="0" collapsed="false">
      <c r="A22" s="4" t="s">
        <v>104</v>
      </c>
      <c r="B22" s="5" t="s">
        <v>105</v>
      </c>
      <c r="C22" s="6" t="s">
        <v>106</v>
      </c>
      <c r="D22" s="6" t="s">
        <v>107</v>
      </c>
      <c r="E22" s="12" t="s">
        <v>99</v>
      </c>
      <c r="F22" s="5" t="s">
        <v>15</v>
      </c>
      <c r="G22" s="6" t="s">
        <v>108</v>
      </c>
      <c r="H22" s="6" t="s">
        <v>109</v>
      </c>
    </row>
    <row r="23" customFormat="false" ht="46.25" hidden="false" customHeight="false" outlineLevel="0" collapsed="false">
      <c r="A23" s="7" t="s">
        <v>110</v>
      </c>
      <c r="B23" s="8" t="s">
        <v>105</v>
      </c>
      <c r="C23" s="9" t="s">
        <v>111</v>
      </c>
      <c r="D23" s="9" t="s">
        <v>112</v>
      </c>
      <c r="E23" s="3" t="s">
        <v>14</v>
      </c>
      <c r="F23" s="8" t="s">
        <v>113</v>
      </c>
      <c r="G23" s="9" t="s">
        <v>114</v>
      </c>
      <c r="H23" s="9" t="s">
        <v>115</v>
      </c>
    </row>
    <row r="24" customFormat="false" ht="23.85" hidden="false" customHeight="false" outlineLevel="0" collapsed="false">
      <c r="A24" s="4" t="s">
        <v>116</v>
      </c>
      <c r="B24" s="5" t="s">
        <v>105</v>
      </c>
      <c r="C24" s="6" t="s">
        <v>117</v>
      </c>
      <c r="D24" s="6" t="s">
        <v>118</v>
      </c>
      <c r="E24" s="12" t="s">
        <v>99</v>
      </c>
      <c r="F24" s="5" t="s">
        <v>15</v>
      </c>
      <c r="G24" s="6" t="s">
        <v>119</v>
      </c>
      <c r="H24" s="6" t="s">
        <v>120</v>
      </c>
    </row>
    <row r="25" customFormat="false" ht="35.05" hidden="false" customHeight="false" outlineLevel="0" collapsed="false">
      <c r="A25" s="7" t="s">
        <v>121</v>
      </c>
      <c r="B25" s="8" t="s">
        <v>105</v>
      </c>
      <c r="C25" s="9" t="s">
        <v>122</v>
      </c>
      <c r="D25" s="9" t="s">
        <v>118</v>
      </c>
      <c r="E25" s="12" t="s">
        <v>99</v>
      </c>
      <c r="F25" s="8" t="s">
        <v>15</v>
      </c>
      <c r="G25" s="9" t="s">
        <v>123</v>
      </c>
      <c r="H25" s="9" t="s">
        <v>124</v>
      </c>
    </row>
    <row r="26" customFormat="false" ht="35.05" hidden="false" customHeight="false" outlineLevel="0" collapsed="false">
      <c r="A26" s="4" t="s">
        <v>125</v>
      </c>
      <c r="B26" s="5" t="s">
        <v>105</v>
      </c>
      <c r="C26" s="6" t="s">
        <v>126</v>
      </c>
      <c r="D26" s="6" t="s">
        <v>127</v>
      </c>
      <c r="E26" s="12" t="s">
        <v>99</v>
      </c>
      <c r="F26" s="5" t="s">
        <v>15</v>
      </c>
      <c r="G26" s="6" t="s">
        <v>128</v>
      </c>
      <c r="H26" s="6" t="s">
        <v>129</v>
      </c>
    </row>
    <row r="27" customFormat="false" ht="23.85" hidden="false" customHeight="false" outlineLevel="0" collapsed="false">
      <c r="A27" s="7" t="s">
        <v>130</v>
      </c>
      <c r="B27" s="8" t="s">
        <v>105</v>
      </c>
      <c r="C27" s="9" t="s">
        <v>131</v>
      </c>
      <c r="D27" s="9" t="s">
        <v>127</v>
      </c>
      <c r="E27" s="12" t="s">
        <v>99</v>
      </c>
      <c r="F27" s="8" t="s">
        <v>15</v>
      </c>
      <c r="G27" s="9" t="s">
        <v>128</v>
      </c>
      <c r="H27" s="9" t="s">
        <v>132</v>
      </c>
    </row>
    <row r="28" customFormat="false" ht="23.85" hidden="false" customHeight="false" outlineLevel="0" collapsed="false">
      <c r="A28" s="4" t="s">
        <v>133</v>
      </c>
      <c r="B28" s="5" t="s">
        <v>105</v>
      </c>
      <c r="C28" s="6" t="s">
        <v>134</v>
      </c>
      <c r="D28" s="6" t="s">
        <v>135</v>
      </c>
      <c r="E28" s="12" t="s">
        <v>99</v>
      </c>
      <c r="F28" s="5" t="s">
        <v>15</v>
      </c>
      <c r="G28" s="6" t="s">
        <v>136</v>
      </c>
      <c r="H28" s="6" t="s">
        <v>137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25.5" hidden="false" customHeight="true" outlineLevel="0" collapsed="false">
      <c r="A1" s="1" t="s">
        <v>138</v>
      </c>
      <c r="B1" s="1"/>
    </row>
    <row r="2" customFormat="false" ht="15" hidden="false" customHeight="false" outlineLevel="0" collapsed="false">
      <c r="A2" s="3" t="s">
        <v>6</v>
      </c>
      <c r="B2" s="3" t="s">
        <v>139</v>
      </c>
    </row>
    <row r="3" customFormat="false" ht="15" hidden="false" customHeight="false" outlineLevel="0" collapsed="false">
      <c r="A3" s="3" t="s">
        <v>14</v>
      </c>
      <c r="B3" s="8" t="n">
        <f aca="false">COUNTIF('Master Tracker'!E4:E28,"DONE")</f>
        <v>14</v>
      </c>
    </row>
    <row r="4" customFormat="false" ht="15" hidden="false" customHeight="false" outlineLevel="0" collapsed="false">
      <c r="A4" s="12" t="s">
        <v>99</v>
      </c>
      <c r="B4" s="8" t="n">
        <f aca="false">COUNTIF('Master Tracker'!E4:E28,"OPEN")</f>
        <v>8</v>
      </c>
    </row>
    <row r="5" customFormat="false" ht="15" hidden="false" customHeight="false" outlineLevel="0" collapsed="false">
      <c r="A5" s="10" t="s">
        <v>61</v>
      </c>
      <c r="B5" s="8" t="n">
        <f aca="false">COUNTIF('Master Tracker'!E4:E28,"PARTIAL")</f>
        <v>2</v>
      </c>
    </row>
    <row r="6" customFormat="false" ht="15" hidden="false" customHeight="false" outlineLevel="0" collapsed="false">
      <c r="A6" s="11" t="s">
        <v>82</v>
      </c>
      <c r="B6" s="8" t="n">
        <f aca="false">COUNTIF('Master Tracker'!E4:E28,"CAN'T TELL")</f>
        <v>1</v>
      </c>
    </row>
    <row r="7" customFormat="false" ht="15" hidden="false" customHeight="false" outlineLevel="0" collapsed="false">
      <c r="A7" s="7" t="s">
        <v>140</v>
      </c>
      <c r="B7" s="7" t="n">
        <f aca="false">SUM(B3:B6)</f>
        <v>25</v>
      </c>
    </row>
    <row r="9" customFormat="false" ht="15" hidden="false" customHeight="true" outlineLevel="0" collapsed="false">
      <c r="A9" s="13" t="s">
        <v>141</v>
      </c>
      <c r="B9" s="14" t="s">
        <v>142</v>
      </c>
    </row>
    <row r="10" customFormat="false" ht="15" hidden="false" customHeight="false" outlineLevel="0" collapsed="false">
      <c r="B10" s="14"/>
    </row>
    <row r="11" customFormat="false" ht="15" hidden="false" customHeight="false" outlineLevel="0" collapsed="false">
      <c r="B11" s="14"/>
    </row>
  </sheetData>
  <mergeCells count="2">
    <mergeCell ref="A1:B1"/>
    <mergeCell ref="B9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2026-06-02T17:40:08Z</dcterms:created>
  <dc:creator>openpyxl</dc:creator>
  <dc:description/>
  <dc:language>en-US</dc:language>
  <cp:lastModifiedBy/>
  <dcterms:modified xsi:type="dcterms:W3CDTF">2026-06-02T17:40:08Z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