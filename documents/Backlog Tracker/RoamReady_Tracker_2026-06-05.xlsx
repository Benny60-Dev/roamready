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Summary" sheetId="2" state="visible" r:id="rId4"/>
  </sheets>
  <definedNames>
    <definedName function="false" hidden="true" localSheetId="0" name="_xlnm._FilterDatabase" vbProcedure="false">Tracker!$A$1:$H$1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<sst xmlns="http://schemas.openxmlformats.org/spreadsheetml/2006/main" count="210" uniqueCount="127">
  <si>
    <t xml:space="preserve">ID</t>
  </si>
  <si>
    <t xml:space="preserve">Item</t>
  </si>
  <si>
    <t xml:space="preserve">Type</t>
  </si>
  <si>
    <t xml:space="preserve">Priority</t>
  </si>
  <si>
    <t xml:space="preserve">Status</t>
  </si>
  <si>
    <t xml:space="preserve">Date</t>
  </si>
  <si>
    <t xml:space="preserve">Area / Files</t>
  </si>
  <si>
    <t xml:space="preserve">Notes</t>
  </si>
  <si>
    <t xml:space="preserve">MESA-6b</t>
  </si>
  <si>
    <t xml:space="preserve">Swept hardcoded example cities from modify-mode prompt</t>
  </si>
  <si>
    <t xml:space="preserve">Fix</t>
  </si>
  <si>
    <t xml:space="preserve">-</t>
  </si>
  <si>
    <t xml:space="preserve">SHIPPED</t>
  </si>
  <si>
    <t xml:space="preserve">2026-06-05</t>
  </si>
  <si>
    <t xml:space="preserve">server/src/controllers/ai.ts</t>
  </si>
  <si>
    <t xml:space="preserve">Closed origin-fabrication leak in modify mode (MESA-6 only covered services/ai.ts).</t>
  </si>
  <si>
    <t xml:space="preserve">MODIFY-UX-1</t>
  </si>
  <si>
    <t xml:space="preserve">Three-state outcome: clarify / proposal / failed</t>
  </si>
  <si>
    <t xml:space="preserve">ai.ts + ModifyTripPanel.tsx</t>
  </si>
  <si>
    <t xml:space="preserve">Error banner now fires only on real failure, not on clarifying questions.</t>
  </si>
  <si>
    <t xml:space="preserve">GEO-1</t>
  </si>
  <si>
    <t xml:space="preserve">Added stop must fall between bracketing stops</t>
  </si>
  <si>
    <t xml:space="preserve">Route-aware pick; no more overshoot (Little Rock/Tulsa) inserts.</t>
  </si>
  <si>
    <t xml:space="preserve">ANCHOR-1</t>
  </si>
  <si>
    <t xml:space="preserve">Resolve modify stop refs by NAME not stop number</t>
  </si>
  <si>
    <t xml:space="preserve">Killed off-by-one inserts. Dropped dual-number data line; after_stop primary anchor.</t>
  </si>
  <si>
    <t xml:space="preserve">CAP-1 / 1b</t>
  </si>
  <si>
    <t xml:space="preserve">Honest, context-aware hard-cap messages</t>
  </si>
  <si>
    <t xml:space="preserve">Planning vs modify copy; removed false carryover promise; planning string honest pre/post-promote.</t>
  </si>
  <si>
    <t xml:space="preserve">MIC-SEND-1</t>
  </si>
  <si>
    <t xml:space="preserve">Send / Enter work while mic is listening</t>
  </si>
  <si>
    <t xml:space="preserve">client/src/components/ChatInput.tsx</t>
  </si>
  <si>
    <t xml:space="preserve">Single shared fix; mic stops on submit so it doesn't bleed into next turn.</t>
  </si>
  <si>
    <t xml:space="preserve">RESET-1</t>
  </si>
  <si>
    <t xml:space="preserve">Reopen 'Modify with AI' starts a fresh session</t>
  </si>
  <si>
    <t xml:space="preserve">client/src/components/trip/ModifyTripPanel.tsx</t>
  </si>
  <si>
    <t xml:space="preserve">Fixed permanent lockout. Post only current-session msgs (Option X); display still shows scrollback.</t>
  </si>
  <si>
    <t xml:space="preserve">CAP-2</t>
  </si>
  <si>
    <t xml:space="preserve">Raise conversation caps to 600 / 1000</t>
  </si>
  <si>
    <t xml:space="preserve">Tuning</t>
  </si>
  <si>
    <t xml:space="preserve">Per-call cost flat via 10-msg window. SOFT 35-&gt;600, HARD 60-&gt;1000.</t>
  </si>
  <si>
    <t xml:space="preserve">BUG-1</t>
  </si>
  <si>
    <t xml:space="preserve">Mobile home input box truncates placeholder text</t>
  </si>
  <si>
    <t xml:space="preserve">Bug</t>
  </si>
  <si>
    <t xml:space="preserve">P1</t>
  </si>
  <si>
    <t xml:space="preserve">OPEN</t>
  </si>
  <si>
    <t xml:space="preserve">client (home planning input)</t>
  </si>
  <si>
    <t xml:space="preserve">First thing a new user sees. Possibly same root as iOS Safari min-h layout item. Needs scout.</t>
  </si>
  <si>
    <t xml:space="preserve">BUG-3</t>
  </si>
  <si>
    <t xml:space="preserve">Asked for 5-stop trip, got 6</t>
  </si>
  <si>
    <t xml:space="preserve">planning prompt (ai.ts)</t>
  </si>
  <si>
    <t xml:space="preserve">AI said '5-stop' in prose then built 6. Is 'stop' defined? Is count enforced? Needs scout.</t>
  </si>
  <si>
    <t xml:space="preserve">BUG-2</t>
  </si>
  <si>
    <t xml:space="preserve">Trip-summary pill needs clear 'tap to preview' CTA</t>
  </si>
  <si>
    <t xml:space="preserve">UX/Copy</t>
  </si>
  <si>
    <t xml:space="preserve">P2</t>
  </si>
  <si>
    <t xml:space="preserve">trip summary pill component</t>
  </si>
  <si>
    <t xml:space="preserve">Pill doesn't signal it's tappable. Decide tap-target scope + CTA wording. Copy-level.</t>
  </si>
  <si>
    <t xml:space="preserve">BUG-4</t>
  </si>
  <si>
    <t xml:space="preserve">Planning AI never asks round-trip vs one-way</t>
  </si>
  <si>
    <t xml:space="preserve">UX/Design</t>
  </si>
  <si>
    <t xml:space="preserve">Big impact on days/miles/fuel/bookings. Decision: always-ask vs infer-and-confirm (lean: infer-and-confirm).</t>
  </si>
  <si>
    <t xml:space="preserve">RES-HONESTY</t>
  </si>
  <si>
    <t xml:space="preserve">Reservation honesty pass (re-confirm status)</t>
  </si>
  <si>
    <t xml:space="preserve">Verify</t>
  </si>
  <si>
    <t xml:space="preserve">TBD</t>
  </si>
  <si>
    <t xml:space="preserve">Flagged CRITICAL pre-launch in prior sessions. Confirm done vs open when reading LAUNCH_STATUS.md.</t>
  </si>
  <si>
    <t xml:space="preserve">LAUNCH-DOC</t>
  </si>
  <si>
    <t xml:space="preserve">Read real LAUNCH_STATUS.md &amp; merge open items</t>
  </si>
  <si>
    <t xml:space="preserve">Task</t>
  </si>
  <si>
    <t xml:space="preserve">LAUNCH_STATUS.md (commit d0fd774)</t>
  </si>
  <si>
    <t xml:space="preserve">Source of truth. First action tomorrow. Confirms Monday timeline feasibility.</t>
  </si>
  <si>
    <t xml:space="preserve">FUNNEL-1</t>
  </si>
  <si>
    <t xml:space="preserve">Tiered free-300 + upgrade-CTA conversion funnel</t>
  </si>
  <si>
    <t xml:space="preserve">Feature</t>
  </si>
  <si>
    <t xml:space="preserve">P3</t>
  </si>
  <si>
    <t xml:space="preserve">DEFERRED</t>
  </si>
  <si>
    <t xml:space="preserve">ai.ts + billing/trial + client</t>
  </si>
  <si>
    <t xml:space="preserve">Revenue feature. Needs tier-aware cap + usage metering + subscribe wiring. Design deliberately, not rushed.</t>
  </si>
  <si>
    <t xml:space="preserve">CAP-OPT-B</t>
  </si>
  <si>
    <t xml:space="preserve">Disable input + 'Start fresh' button at cap</t>
  </si>
  <si>
    <t xml:space="preserve">UX</t>
  </si>
  <si>
    <t xml:space="preserve">ChatInput.tsx + ModifyTripPanel.tsx</t>
  </si>
  <si>
    <t xml:space="preserve">Cleaner than typeable-dead-box. Client reads hardCapReached flag (not read today).</t>
  </si>
  <si>
    <t xml:space="preserve">HOME-MODAL</t>
  </si>
  <si>
    <t xml:space="preserve">Save-home modal fires on 'somewhere else' origins too</t>
  </si>
  <si>
    <t xml:space="preserve">save-home modal</t>
  </si>
  <si>
    <t xml:space="preserve">Optional gating to fire only on 'home' origins.</t>
  </si>
  <si>
    <t xml:space="preserve">CI-GREP</t>
  </si>
  <si>
    <t xml:space="preserve">CI grep to block real city names in ai.ts examples</t>
  </si>
  <si>
    <t xml:space="preserve">Infra</t>
  </si>
  <si>
    <t xml:space="preserve">CI / ai.ts</t>
  </si>
  <si>
    <t xml:space="preserve">Guardrail that would auto-catch MESA-6b-class leaks. Stable placeholder convention now exists.</t>
  </si>
  <si>
    <t xml:space="preserve">TRACKER-D</t>
  </si>
  <si>
    <t xml:space="preserve">Tracker filename dated 06-04 holds 06-05 rows</t>
  </si>
  <si>
    <t xml:space="preserve">Cleanup</t>
  </si>
  <si>
    <t xml:space="preserve">tracker file in repo</t>
  </si>
  <si>
    <t xml:space="preserve">Rename / reconcile. Also reconcile THIS spreadsheet against the repo tracker.</t>
  </si>
  <si>
    <t xml:space="preserve">REGEN-MERGE</t>
  </si>
  <si>
    <t xml:space="preserve">Non-destructive Regenerate merge (preserveUserEdits)</t>
  </si>
  <si>
    <t xml:space="preserve">server/trips.ts ~1182-1258</t>
  </si>
  <si>
    <t xml:space="preserve">Preserve checked/isCustom flags on regenerate. Post-launch TODO from Regenerate ConfirmModal work.</t>
  </si>
  <si>
    <t xml:space="preserve">JOURNAL-PHOTO</t>
  </si>
  <si>
    <t xml:space="preserve">Journal photos: build upload vs link external</t>
  </si>
  <si>
    <t xml:space="preserve">Decision</t>
  </si>
  <si>
    <t xml:space="preserve">journal feature</t>
  </si>
  <si>
    <t xml:space="preserve">Strategic decision deferred.</t>
  </si>
  <si>
    <t xml:space="preserve">GPS-COMPLETE</t>
  </si>
  <si>
    <t xml:space="preserve">GPS-triggered trip completion</t>
  </si>
  <si>
    <t xml:space="preserve">client</t>
  </si>
  <si>
    <t xml:space="preserve">Web tab-only caveat; full background needs native app. v2.</t>
  </si>
  <si>
    <t xml:space="preserve">MOBILE-APP</t>
  </si>
  <si>
    <t xml:space="preserve">React Native + Expo mobile app</t>
  </si>
  <si>
    <t xml:space="preserve">new app</t>
  </si>
  <si>
    <t xml:space="preserve">Defer until ~1,000 web users post-launch.</t>
  </si>
  <si>
    <t xml:space="preserve">LAUNCH</t>
  </si>
  <si>
    <t xml:space="preserve">RoamReady public launch</t>
  </si>
  <si>
    <t xml:space="preserve">Milestone</t>
  </si>
  <si>
    <t xml:space="preserve">TARGET</t>
  </si>
  <si>
    <t xml:space="preserve">2026-06-08</t>
  </si>
  <si>
    <t xml:space="preserve">—</t>
  </si>
  <si>
    <t xml:space="preserve">Monday target. Feasible if no sleeper blocker in LAUNCH_STATUS.md.</t>
  </si>
  <si>
    <t xml:space="preserve">RoamReady — Tracker Summary</t>
  </si>
  <si>
    <t xml:space="preserve">As of 2026-06-05  •  prod synced at commit 7d5578d  •  launch target Mon 2026-06-08</t>
  </si>
  <si>
    <t xml:space="preserve">Count</t>
  </si>
  <si>
    <t xml:space="preserve">TOTAL</t>
  </si>
  <si>
    <t xml:space="preserve">Open P1 items (launch-critical)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</si>
</sst>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1F6F8B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color rgb="FF1F6F8B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3E554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6F8B"/>
        <bgColor rgb="FF008080"/>
      </patternFill>
    </fill>
    <fill>
      <patternFill patternType="solid">
        <fgColor rgb="FFD5EAD8"/>
        <bgColor rgb="FFE2EFDA"/>
      </patternFill>
    </fill>
    <fill>
      <patternFill patternType="solid">
        <fgColor rgb="FFF8CBAD"/>
        <bgColor rgb="FFFFE699"/>
      </patternFill>
    </fill>
    <fill>
      <patternFill patternType="solid">
        <fgColor rgb="FFFCE4D6"/>
        <bgColor rgb="FFFFF2CC"/>
      </patternFill>
    </fill>
    <fill>
      <patternFill patternType="solid">
        <fgColor rgb="FFFFE699"/>
        <bgColor rgb="FFFFF2CC"/>
      </patternFill>
    </fill>
    <fill>
      <patternFill patternType="solid">
        <fgColor rgb="FFE2EFDA"/>
        <bgColor rgb="FFD5EAD8"/>
      </patternFill>
    </fill>
    <fill>
      <patternFill patternType="solid">
        <fgColor rgb="FFEDE7F0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6F8B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8B"/>
      <rgbColor rgb="FFCCCCCC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7F0"/>
      <rgbColor rgb="FFD5EAD8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E55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8</v>
      </c>
      <c r="B2" s="3" t="s">
        <v>9</v>
      </c>
      <c r="C2" s="3" t="s">
        <v>10</v>
      </c>
      <c r="D2" s="3" t="s">
        <v>11</v>
      </c>
      <c r="E2" s="4" t="s">
        <v>12</v>
      </c>
      <c r="F2" s="3" t="s">
        <v>13</v>
      </c>
      <c r="G2" s="3" t="s">
        <v>14</v>
      </c>
      <c r="H2" s="3" t="s">
        <v>15</v>
      </c>
    </row>
    <row r="3" customFormat="false" ht="15" hidden="false" customHeight="false" outlineLevel="0" collapsed="false">
      <c r="A3" s="2" t="s">
        <v>16</v>
      </c>
      <c r="B3" s="3" t="s">
        <v>17</v>
      </c>
      <c r="C3" s="3" t="s">
        <v>10</v>
      </c>
      <c r="D3" s="3" t="s">
        <v>11</v>
      </c>
      <c r="E3" s="4" t="s">
        <v>12</v>
      </c>
      <c r="F3" s="3" t="s">
        <v>13</v>
      </c>
      <c r="G3" s="3" t="s">
        <v>18</v>
      </c>
      <c r="H3" s="3" t="s">
        <v>19</v>
      </c>
    </row>
    <row r="4" customFormat="false" ht="15" hidden="false" customHeight="false" outlineLevel="0" collapsed="false">
      <c r="A4" s="2" t="s">
        <v>20</v>
      </c>
      <c r="B4" s="3" t="s">
        <v>21</v>
      </c>
      <c r="C4" s="3" t="s">
        <v>10</v>
      </c>
      <c r="D4" s="3" t="s">
        <v>11</v>
      </c>
      <c r="E4" s="4" t="s">
        <v>12</v>
      </c>
      <c r="F4" s="3" t="s">
        <v>13</v>
      </c>
      <c r="G4" s="3" t="s">
        <v>14</v>
      </c>
      <c r="H4" s="3" t="s">
        <v>22</v>
      </c>
    </row>
    <row r="5" customFormat="false" ht="23.85" hidden="false" customHeight="false" outlineLevel="0" collapsed="false">
      <c r="A5" s="2" t="s">
        <v>23</v>
      </c>
      <c r="B5" s="3" t="s">
        <v>24</v>
      </c>
      <c r="C5" s="3" t="s">
        <v>10</v>
      </c>
      <c r="D5" s="3" t="s">
        <v>11</v>
      </c>
      <c r="E5" s="4" t="s">
        <v>12</v>
      </c>
      <c r="F5" s="3" t="s">
        <v>13</v>
      </c>
      <c r="G5" s="3" t="s">
        <v>18</v>
      </c>
      <c r="H5" s="3" t="s">
        <v>25</v>
      </c>
    </row>
    <row r="6" customFormat="false" ht="23.85" hidden="false" customHeight="false" outlineLevel="0" collapsed="false">
      <c r="A6" s="2" t="s">
        <v>26</v>
      </c>
      <c r="B6" s="3" t="s">
        <v>27</v>
      </c>
      <c r="C6" s="3" t="s">
        <v>10</v>
      </c>
      <c r="D6" s="3" t="s">
        <v>11</v>
      </c>
      <c r="E6" s="4" t="s">
        <v>12</v>
      </c>
      <c r="F6" s="3" t="s">
        <v>13</v>
      </c>
      <c r="G6" s="3" t="s">
        <v>14</v>
      </c>
      <c r="H6" s="3" t="s">
        <v>28</v>
      </c>
    </row>
    <row r="7" customFormat="false" ht="15" hidden="false" customHeight="false" outlineLevel="0" collapsed="false">
      <c r="A7" s="2" t="s">
        <v>29</v>
      </c>
      <c r="B7" s="3" t="s">
        <v>30</v>
      </c>
      <c r="C7" s="3" t="s">
        <v>10</v>
      </c>
      <c r="D7" s="3" t="s">
        <v>11</v>
      </c>
      <c r="E7" s="4" t="s">
        <v>12</v>
      </c>
      <c r="F7" s="3" t="s">
        <v>13</v>
      </c>
      <c r="G7" s="3" t="s">
        <v>31</v>
      </c>
      <c r="H7" s="3" t="s">
        <v>32</v>
      </c>
    </row>
    <row r="8" customFormat="false" ht="23.85" hidden="false" customHeight="false" outlineLevel="0" collapsed="false">
      <c r="A8" s="2" t="s">
        <v>33</v>
      </c>
      <c r="B8" s="3" t="s">
        <v>34</v>
      </c>
      <c r="C8" s="3" t="s">
        <v>10</v>
      </c>
      <c r="D8" s="3" t="s">
        <v>11</v>
      </c>
      <c r="E8" s="4" t="s">
        <v>12</v>
      </c>
      <c r="F8" s="3" t="s">
        <v>13</v>
      </c>
      <c r="G8" s="3" t="s">
        <v>35</v>
      </c>
      <c r="H8" s="3" t="s">
        <v>36</v>
      </c>
    </row>
    <row r="9" customFormat="false" ht="15" hidden="false" customHeight="false" outlineLevel="0" collapsed="false">
      <c r="A9" s="2" t="s">
        <v>37</v>
      </c>
      <c r="B9" s="3" t="s">
        <v>38</v>
      </c>
      <c r="C9" s="3" t="s">
        <v>39</v>
      </c>
      <c r="D9" s="3" t="s">
        <v>11</v>
      </c>
      <c r="E9" s="4" t="s">
        <v>12</v>
      </c>
      <c r="F9" s="3" t="s">
        <v>13</v>
      </c>
      <c r="G9" s="3" t="s">
        <v>14</v>
      </c>
      <c r="H9" s="3" t="s">
        <v>40</v>
      </c>
    </row>
    <row r="10" customFormat="false" ht="23.85" hidden="false" customHeight="false" outlineLevel="0" collapsed="false">
      <c r="A10" s="2" t="s">
        <v>41</v>
      </c>
      <c r="B10" s="3" t="s">
        <v>42</v>
      </c>
      <c r="C10" s="3" t="s">
        <v>43</v>
      </c>
      <c r="D10" s="5" t="s">
        <v>44</v>
      </c>
      <c r="E10" s="6" t="s">
        <v>45</v>
      </c>
      <c r="F10" s="3" t="s">
        <v>13</v>
      </c>
      <c r="G10" s="3" t="s">
        <v>46</v>
      </c>
      <c r="H10" s="3" t="s">
        <v>47</v>
      </c>
    </row>
    <row r="11" customFormat="false" ht="23.85" hidden="false" customHeight="false" outlineLevel="0" collapsed="false">
      <c r="A11" s="2" t="s">
        <v>48</v>
      </c>
      <c r="B11" s="3" t="s">
        <v>49</v>
      </c>
      <c r="C11" s="3" t="s">
        <v>43</v>
      </c>
      <c r="D11" s="5" t="s">
        <v>44</v>
      </c>
      <c r="E11" s="6" t="s">
        <v>45</v>
      </c>
      <c r="F11" s="3" t="s">
        <v>13</v>
      </c>
      <c r="G11" s="3" t="s">
        <v>50</v>
      </c>
      <c r="H11" s="3" t="s">
        <v>51</v>
      </c>
    </row>
    <row r="12" customFormat="false" ht="23.85" hidden="false" customHeight="false" outlineLevel="0" collapsed="false">
      <c r="A12" s="2" t="s">
        <v>52</v>
      </c>
      <c r="B12" s="3" t="s">
        <v>53</v>
      </c>
      <c r="C12" s="3" t="s">
        <v>54</v>
      </c>
      <c r="D12" s="7" t="s">
        <v>55</v>
      </c>
      <c r="E12" s="6" t="s">
        <v>45</v>
      </c>
      <c r="F12" s="3" t="s">
        <v>13</v>
      </c>
      <c r="G12" s="3" t="s">
        <v>56</v>
      </c>
      <c r="H12" s="3" t="s">
        <v>57</v>
      </c>
    </row>
    <row r="13" customFormat="false" ht="23.85" hidden="false" customHeight="false" outlineLevel="0" collapsed="false">
      <c r="A13" s="2" t="s">
        <v>58</v>
      </c>
      <c r="B13" s="3" t="s">
        <v>59</v>
      </c>
      <c r="C13" s="3" t="s">
        <v>60</v>
      </c>
      <c r="D13" s="7" t="s">
        <v>55</v>
      </c>
      <c r="E13" s="6" t="s">
        <v>45</v>
      </c>
      <c r="F13" s="3" t="s">
        <v>13</v>
      </c>
      <c r="G13" s="3" t="s">
        <v>50</v>
      </c>
      <c r="H13" s="3" t="s">
        <v>61</v>
      </c>
    </row>
    <row r="14" customFormat="false" ht="23.85" hidden="false" customHeight="false" outlineLevel="0" collapsed="false">
      <c r="A14" s="2" t="s">
        <v>62</v>
      </c>
      <c r="B14" s="3" t="s">
        <v>63</v>
      </c>
      <c r="C14" s="3" t="s">
        <v>64</v>
      </c>
      <c r="D14" s="5" t="s">
        <v>44</v>
      </c>
      <c r="E14" s="6" t="s">
        <v>45</v>
      </c>
      <c r="F14" s="3" t="s">
        <v>13</v>
      </c>
      <c r="G14" s="3" t="s">
        <v>65</v>
      </c>
      <c r="H14" s="3" t="s">
        <v>66</v>
      </c>
    </row>
    <row r="15" customFormat="false" ht="23.85" hidden="false" customHeight="false" outlineLevel="0" collapsed="false">
      <c r="A15" s="2" t="s">
        <v>67</v>
      </c>
      <c r="B15" s="3" t="s">
        <v>68</v>
      </c>
      <c r="C15" s="3" t="s">
        <v>69</v>
      </c>
      <c r="D15" s="5" t="s">
        <v>44</v>
      </c>
      <c r="E15" s="6" t="s">
        <v>45</v>
      </c>
      <c r="F15" s="3" t="s">
        <v>13</v>
      </c>
      <c r="G15" s="3" t="s">
        <v>70</v>
      </c>
      <c r="H15" s="3" t="s">
        <v>71</v>
      </c>
    </row>
    <row r="16" customFormat="false" ht="23.85" hidden="false" customHeight="false" outlineLevel="0" collapsed="false">
      <c r="A16" s="2" t="s">
        <v>72</v>
      </c>
      <c r="B16" s="3" t="s">
        <v>73</v>
      </c>
      <c r="C16" s="3" t="s">
        <v>74</v>
      </c>
      <c r="D16" s="8" t="s">
        <v>75</v>
      </c>
      <c r="E16" s="9" t="s">
        <v>76</v>
      </c>
      <c r="F16" s="3" t="s">
        <v>13</v>
      </c>
      <c r="G16" s="3" t="s">
        <v>77</v>
      </c>
      <c r="H16" s="3" t="s">
        <v>78</v>
      </c>
    </row>
    <row r="17" customFormat="false" ht="23.85" hidden="false" customHeight="false" outlineLevel="0" collapsed="false">
      <c r="A17" s="2" t="s">
        <v>79</v>
      </c>
      <c r="B17" s="3" t="s">
        <v>80</v>
      </c>
      <c r="C17" s="3" t="s">
        <v>81</v>
      </c>
      <c r="D17" s="8" t="s">
        <v>75</v>
      </c>
      <c r="E17" s="9" t="s">
        <v>76</v>
      </c>
      <c r="F17" s="3" t="s">
        <v>13</v>
      </c>
      <c r="G17" s="3" t="s">
        <v>82</v>
      </c>
      <c r="H17" s="3" t="s">
        <v>83</v>
      </c>
    </row>
    <row r="18" customFormat="false" ht="23.85" hidden="false" customHeight="false" outlineLevel="0" collapsed="false">
      <c r="A18" s="2" t="s">
        <v>84</v>
      </c>
      <c r="B18" s="3" t="s">
        <v>85</v>
      </c>
      <c r="C18" s="3" t="s">
        <v>43</v>
      </c>
      <c r="D18" s="8" t="s">
        <v>75</v>
      </c>
      <c r="E18" s="9" t="s">
        <v>76</v>
      </c>
      <c r="F18" s="3" t="s">
        <v>13</v>
      </c>
      <c r="G18" s="3" t="s">
        <v>86</v>
      </c>
      <c r="H18" s="3" t="s">
        <v>87</v>
      </c>
    </row>
    <row r="19" customFormat="false" ht="23.85" hidden="false" customHeight="false" outlineLevel="0" collapsed="false">
      <c r="A19" s="2" t="s">
        <v>88</v>
      </c>
      <c r="B19" s="3" t="s">
        <v>89</v>
      </c>
      <c r="C19" s="3" t="s">
        <v>90</v>
      </c>
      <c r="D19" s="8" t="s">
        <v>75</v>
      </c>
      <c r="E19" s="9" t="s">
        <v>76</v>
      </c>
      <c r="F19" s="3" t="s">
        <v>13</v>
      </c>
      <c r="G19" s="3" t="s">
        <v>91</v>
      </c>
      <c r="H19" s="3" t="s">
        <v>92</v>
      </c>
    </row>
    <row r="20" customFormat="false" ht="23.85" hidden="false" customHeight="false" outlineLevel="0" collapsed="false">
      <c r="A20" s="2" t="s">
        <v>93</v>
      </c>
      <c r="B20" s="3" t="s">
        <v>94</v>
      </c>
      <c r="C20" s="3" t="s">
        <v>95</v>
      </c>
      <c r="D20" s="8" t="s">
        <v>75</v>
      </c>
      <c r="E20" s="9" t="s">
        <v>76</v>
      </c>
      <c r="F20" s="3" t="s">
        <v>13</v>
      </c>
      <c r="G20" s="3" t="s">
        <v>96</v>
      </c>
      <c r="H20" s="3" t="s">
        <v>97</v>
      </c>
    </row>
    <row r="21" customFormat="false" ht="23.85" hidden="false" customHeight="false" outlineLevel="0" collapsed="false">
      <c r="A21" s="2" t="s">
        <v>98</v>
      </c>
      <c r="B21" s="3" t="s">
        <v>99</v>
      </c>
      <c r="C21" s="3" t="s">
        <v>74</v>
      </c>
      <c r="D21" s="8" t="s">
        <v>75</v>
      </c>
      <c r="E21" s="9" t="s">
        <v>76</v>
      </c>
      <c r="F21" s="3" t="s">
        <v>13</v>
      </c>
      <c r="G21" s="3" t="s">
        <v>100</v>
      </c>
      <c r="H21" s="3" t="s">
        <v>101</v>
      </c>
    </row>
    <row r="22" customFormat="false" ht="23.85" hidden="false" customHeight="false" outlineLevel="0" collapsed="false">
      <c r="A22" s="2" t="s">
        <v>102</v>
      </c>
      <c r="B22" s="3" t="s">
        <v>103</v>
      </c>
      <c r="C22" s="3" t="s">
        <v>104</v>
      </c>
      <c r="D22" s="8" t="s">
        <v>75</v>
      </c>
      <c r="E22" s="9" t="s">
        <v>76</v>
      </c>
      <c r="F22" s="3" t="s">
        <v>13</v>
      </c>
      <c r="G22" s="3" t="s">
        <v>105</v>
      </c>
      <c r="H22" s="3" t="s">
        <v>106</v>
      </c>
    </row>
    <row r="23" customFormat="false" ht="23.85" hidden="false" customHeight="false" outlineLevel="0" collapsed="false">
      <c r="A23" s="2" t="s">
        <v>107</v>
      </c>
      <c r="B23" s="3" t="s">
        <v>108</v>
      </c>
      <c r="C23" s="3" t="s">
        <v>74</v>
      </c>
      <c r="D23" s="8" t="s">
        <v>75</v>
      </c>
      <c r="E23" s="9" t="s">
        <v>76</v>
      </c>
      <c r="F23" s="3" t="s">
        <v>13</v>
      </c>
      <c r="G23" s="3" t="s">
        <v>109</v>
      </c>
      <c r="H23" s="3" t="s">
        <v>110</v>
      </c>
    </row>
    <row r="24" customFormat="false" ht="23.85" hidden="false" customHeight="false" outlineLevel="0" collapsed="false">
      <c r="A24" s="2" t="s">
        <v>111</v>
      </c>
      <c r="B24" s="3" t="s">
        <v>112</v>
      </c>
      <c r="C24" s="3" t="s">
        <v>74</v>
      </c>
      <c r="D24" s="8" t="s">
        <v>75</v>
      </c>
      <c r="E24" s="9" t="s">
        <v>76</v>
      </c>
      <c r="F24" s="3" t="s">
        <v>13</v>
      </c>
      <c r="G24" s="3" t="s">
        <v>113</v>
      </c>
      <c r="H24" s="3" t="s">
        <v>114</v>
      </c>
    </row>
    <row r="25" customFormat="false" ht="15" hidden="false" customHeight="false" outlineLevel="0" collapsed="false">
      <c r="A25" s="2" t="s">
        <v>115</v>
      </c>
      <c r="B25" s="3" t="s">
        <v>116</v>
      </c>
      <c r="C25" s="3" t="s">
        <v>117</v>
      </c>
      <c r="D25" s="5" t="s">
        <v>44</v>
      </c>
      <c r="E25" s="10" t="s">
        <v>118</v>
      </c>
      <c r="F25" s="3" t="s">
        <v>119</v>
      </c>
      <c r="G25" s="3" t="s">
        <v>120</v>
      </c>
      <c r="H25" s="3" t="s">
        <v>121</v>
      </c>
    </row>
  </sheetData>
  <autoFilter ref="A1:H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</cols>
  <sheetData>
    <row r="1" customFormat="false" ht="19.7" hidden="false" customHeight="false" outlineLevel="0" collapsed="false">
      <c r="A1" s="11" t="s">
        <v>122</v>
      </c>
    </row>
    <row r="2" customFormat="false" ht="15" hidden="false" customHeight="false" outlineLevel="0" collapsed="false">
      <c r="A2" s="12" t="s">
        <v>123</v>
      </c>
    </row>
    <row r="3" customFormat="false" ht="15" hidden="false" customHeight="false" outlineLevel="0" collapsed="false">
      <c r="A3" s="13" t="s">
        <v>4</v>
      </c>
      <c r="B3" s="13" t="s">
        <v>124</v>
      </c>
    </row>
    <row r="4" customFormat="false" ht="15" hidden="false" customHeight="false" outlineLevel="0" collapsed="false">
      <c r="A4" s="14" t="s">
        <v>12</v>
      </c>
      <c r="B4" s="15" t="n">
        <f aca="false">COUNTIF(Tracker!E2:E25,"SHIPPED")</f>
        <v>8</v>
      </c>
    </row>
    <row r="5" customFormat="false" ht="15" hidden="false" customHeight="false" outlineLevel="0" collapsed="false">
      <c r="A5" s="16" t="s">
        <v>45</v>
      </c>
      <c r="B5" s="15" t="n">
        <f aca="false">COUNTIF(Tracker!E2:E25,"OPEN")</f>
        <v>6</v>
      </c>
    </row>
    <row r="6" customFormat="false" ht="15" hidden="false" customHeight="false" outlineLevel="0" collapsed="false">
      <c r="A6" s="17" t="s">
        <v>76</v>
      </c>
      <c r="B6" s="15" t="n">
        <f aca="false">COUNTIF(Tracker!E2:E25,"DEFERRED")</f>
        <v>9</v>
      </c>
    </row>
    <row r="7" customFormat="false" ht="15" hidden="false" customHeight="false" outlineLevel="0" collapsed="false">
      <c r="A7" s="18" t="s">
        <v>118</v>
      </c>
      <c r="B7" s="15" t="n">
        <f aca="false">COUNTIF(Tracker!E2:E25,"TARGET")</f>
        <v>1</v>
      </c>
    </row>
    <row r="8" customFormat="false" ht="15" hidden="false" customHeight="false" outlineLevel="0" collapsed="false">
      <c r="A8" s="19" t="s">
        <v>125</v>
      </c>
      <c r="B8" s="19" t="n">
        <f aca="false">SUM(B4:B7)</f>
        <v>24</v>
      </c>
    </row>
    <row r="10" customFormat="false" ht="15" hidden="false" customHeight="false" outlineLevel="0" collapsed="false">
      <c r="A10" s="20" t="s">
        <v>126</v>
      </c>
      <c r="B10" s="21" t="n">
        <f aca="false">COUNTIFS(Tracker!E2:E25,"OPEN",Tracker!D2:D25,"P1")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2026-06-06T14:49:35Z</dcterms:created>
  <dc:creator>openpyxl</dc:creator>
  <dc:description/>
  <dc:language>en-US</dc:language>
  <cp:lastModifiedBy/>
  <dcterms:modified xsi:type="dcterms:W3CDTF">2026-06-06T14:49:35Z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