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Tracker" sheetId="1" state="visible" r:id="rId3"/>
    <sheet name="Features Shipped" sheetId="2" state="visible" r:id="rId4"/>
    <sheet name="Backlog &amp; Open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<sst xmlns="http://schemas.openxmlformats.org/spreadsheetml/2006/main" count="180" uniqueCount="137">
  <si>
    <t xml:space="preserve">RoamReady.ai - Bug Tracker</t>
  </si>
  <si>
    <t xml:space="preserve">End of day: Thursday, June 11, 2026 (session ran into June 12). Maintained by Claude.</t>
  </si>
  <si>
    <t xml:space="preserve">ID</t>
  </si>
  <si>
    <t xml:space="preserve">Title / Symptom</t>
  </si>
  <si>
    <t xml:space="preserve">Severity</t>
  </si>
  <si>
    <t xml:space="preserve">Source</t>
  </si>
  <si>
    <t xml:space="preserve">Status</t>
  </si>
  <si>
    <t xml:space="preserve">Resolution</t>
  </si>
  <si>
    <t xml:space="preserve">Key commits</t>
  </si>
  <si>
    <t xml:space="preserve">AI-MODIFY-1</t>
  </si>
  <si>
    <t xml:space="preserve">Modify-with-AI showed '[checkmark] change already applied' x4 but only the first stop was applied to the itinerary (Cindy's Mesa-Niagara trip)</t>
  </si>
  <si>
    <t xml:space="preserve">High</t>
  </si>
  <si>
    <t xml:space="preserve">Prod user (Cindy)</t>
  </si>
  <si>
    <t xml:space="preserve">Fixed - deployed</t>
  </si>
  <si>
    <t xml:space="preserve">MESA-10 multi-action architecture: server is the single parse authority (actions[] in envelope), per-action applied state stamped server-side at execution, Apply-all sequential UI, model-emitted 'applied' claims stripped, legacy histories degrade to neutral text. Synthetic success bubbles removed.</t>
  </si>
  <si>
    <t xml:space="preserve">1a3e8b4, 5a9c740</t>
  </si>
  <si>
    <t xml:space="preserve">MODIFY-UI-1</t>
  </si>
  <si>
    <t xml:space="preserve">Duplicate-stop guard error reported the wrong stop number (counted HOME departure)</t>
  </si>
  <si>
    <t xml:space="preserve">Low</t>
  </si>
  <si>
    <t xml:space="preserve">User test (Benny)</t>
  </si>
  <si>
    <t xml:space="preserve">Guard now numbers against the displayed (non-HOME) stop list; add-home duplicates say 'as your home stop'.</t>
  </si>
  <si>
    <t xml:space="preserve">bc71580</t>
  </si>
  <si>
    <t xml:space="preserve">FB-HONESTY-1</t>
  </si>
  <si>
    <t xml:space="preserve">Feedback modal showed 'Thanks for your feedback!' even when the request failed (seen live on prod with a 401)</t>
  </si>
  <si>
    <t xml:space="preserve">Internal test</t>
  </si>
  <si>
    <t xml:space="preserve">try/catch with status-specific messages, visible error box, disabled 'Sending...' state; raw req.body replaced with strict Zod validation (FeedbackSubmitSchema) via validateBody; unvalidated PUT /feedback/:id/status removed in favor of PATCH /admin/feedback/:id.</t>
  </si>
  <si>
    <t xml:space="preserve">c8df51f</t>
  </si>
  <si>
    <t xml:space="preserve">FB-ZOD-1</t>
  </si>
  <si>
    <t xml:space="preserve">Strict feedback schema rejected valid minimal submissions - title/importance became required (Zod v4 preprocess/optional placement gotcha)</t>
  </si>
  <si>
    <t xml:space="preserve">Medium</t>
  </si>
  <si>
    <t xml:space="preserve">Outer .optional() added to preprocessed fields; 8-case safeParse verification; gotcha saved to project memory.</t>
  </si>
  <si>
    <t xml:space="preserve">a6addbd</t>
  </si>
  <si>
    <t xml:space="preserve">MIGRATE-EOL-1</t>
  </si>
  <si>
    <t xml:space="preserve">Prisma 'migration modified after applied' checksum failures, three incidents in one day (founder-rate migration); migrate dev offered destructive DB resets</t>
  </si>
  <si>
    <t xml:space="preserve">Dev infrastructure</t>
  </si>
  <si>
    <t xml:space="preserve">Root cause: core.autocrlf=true rewriting applied migration SQL CRLF on checkout; pre-pin worktrees stayed poisoned. Fix: .gitattributes eol=lf pin, repo-local core.autocrlf=false, byte repairs across all trees, DB checksum corrections (zero data loss, no resets). Guards: scripts/check-migration-eol.js, npm run preflight, hard-abort check wired into save-progress.bat.</t>
  </si>
  <si>
    <t xml:space="preserve">4305e98, 2be0de4</t>
  </si>
  <si>
    <t xml:space="preserve">AI-PACK-1</t>
  </si>
  <si>
    <t xml:space="preserve">Packing list AI generation silently persisted an EMPTY list (200 + ~0.9 kB) - max_tokens 4096 truncation broke JSON parse, code swallowed it as []. Live on prod; regenerate could silently wipe an existing list.</t>
  </si>
  <si>
    <t xml:space="preserve">Fixed - push pending</t>
  </si>
  <si>
    <t xml:space="preserve">max_tokens raised to 8192 with stop_reason detection and loud parse logging; controller 502s on empty/non-array generation and never overwrites the stored list; carry-over extracted to utils/packingMerge.ts with a 10-case regression check (npm run check:packing-merge).</t>
  </si>
  <si>
    <t xml:space="preserve">3851ca3</t>
  </si>
  <si>
    <t xml:space="preserve">PACK-PERSIST-1</t>
  </si>
  <si>
    <t xml:space="preserve">Packing list checkmarks did not persist - checked state lived only in React state; regenerate also wiped all checks</t>
  </si>
  <si>
    <t xml:space="preserve">User report (Benny)</t>
  </si>
  <si>
    <t xml:space="preserve">New PUT /trips/:id/packing-list (ownership-checked, strict Zod, 30x100 caps); optimistic toggle + 500ms debounced save with flush-on-unmount and visible failure banner + retry; regenerate carries checked state over by case-insensitive name match; per-item remove (x) for curation.</t>
  </si>
  <si>
    <t xml:space="preserve">fd58085</t>
  </si>
  <si>
    <t xml:space="preserve">PDF-GATE-1</t>
  </si>
  <si>
    <t xml:space="preserve">pdfExport: ['PRO'] feature-table rule was never enforced - free users could download trip PDFs (client-side render skipped the gate)</t>
  </si>
  <si>
    <t xml:space="preserve">Medium (revenue)</t>
  </si>
  <si>
    <t xml:space="preserve">CC audit</t>
  </si>
  <si>
    <t xml:space="preserve">All three PDF surfaces (trip summary, trip map, packing list) now call the gated exportPdf endpoint first; 403 opens the paywall via the central interceptor; one deletable line per surface if ever ungated.</t>
  </si>
  <si>
    <t xml:space="preserve">4ad4329</t>
  </si>
  <si>
    <t xml:space="preserve">UI-GLYPH-1</t>
  </si>
  <si>
    <t xml:space="preserve">TripMapPage stop-row glyphs unintelligible: purple weather badge was a bare count; tent/bed/red-triangle/booking-dot had no labels</t>
  </si>
  <si>
    <t xml:space="preserve">Badge replaced with a labeled pill (CloudRain + 'N weather alert(s)', brand purple, compact form on narrow widths) with detail tooltip; all four glyphs now have explanatory title tooltips.</t>
  </si>
  <si>
    <t xml:space="preserve">46ea101</t>
  </si>
  <si>
    <t xml:space="preserve">UI-PALETTE-1</t>
  </si>
  <si>
    <t xml:space="preserve">Three off-palette purples (TripMapPage text-purple-600, TripPDF #7C3AED, SessionTipCard #8458B4)</t>
  </si>
  <si>
    <t xml:space="preserve">CC sweep</t>
  </si>
  <si>
    <t xml:space="preserve">All consolidated to the registered brand token purple.DEFAULT #7F77DD; every client purple now derives from one token.</t>
  </si>
  <si>
    <t xml:space="preserve">a3444de</t>
  </si>
  <si>
    <t xml:space="preserve">PACK-UI-1</t>
  </si>
  <si>
    <t xml:space="preserve">Redundant 'Generate with AI' + 'Generate packing list' buttons; regenerate had no confirm despite replacing the list</t>
  </si>
  <si>
    <t xml:space="preserve">One action per state: empty state owns the CTA, header shows 'Regenerate with AI' only when a list exists, gated by a ConfirmModal that honestly warns removed items will return.</t>
  </si>
  <si>
    <t xml:space="preserve">UI-DOT-1</t>
  </si>
  <si>
    <t xml:space="preserve">Purple dots on the dashboard journal map questioned as possible bug</t>
  </si>
  <si>
    <t xml:space="preserve">Closed - by design</t>
  </si>
  <si>
    <t xml:space="preserve">Per-trip marker colors on AllTripsMap (active trip = RV Blue, others cycle a deliberate 4-color ramp; gold ring = journal entry). Registered brand accent; no change made.</t>
  </si>
  <si>
    <t xml:space="preserve">n/a</t>
  </si>
  <si>
    <t xml:space="preserve">Summary</t>
  </si>
  <si>
    <t xml:space="preserve">Total items</t>
  </si>
  <si>
    <t xml:space="preserve">High severity</t>
  </si>
  <si>
    <t xml:space="preserve">NOTE: 'push pending' items are merged to local main but NOT on prod. AI-PACK-1's bug IS live on prod - push is the first priority tomorrow.</t>
  </si>
  <si>
    <t xml:space="preserve">Features shipped today</t>
  </si>
  <si>
    <t xml:space="preserve">Feature</t>
  </si>
  <si>
    <t xml:space="preserve">What it does</t>
  </si>
  <si>
    <t xml:space="preserve">Feedback pipeline (core)</t>
  </si>
  <si>
    <t xml:space="preserve">Validated submissions (strict Zod), honest error states, screenshot attachments (up to 3, client downscale, magic-byte + size checks server-side, route-scoped 25mb JSON limit), support notification email, submitter acknowledgment email, private-by-default (isPublic false + migration), admin PATCH endpoint.</t>
  </si>
  <si>
    <t xml:space="preserve">Deployed</t>
  </si>
  <si>
    <t xml:space="preserve">c8df51f, 5cda816, d436834-era</t>
  </si>
  <si>
    <t xml:space="preserve">Feedback lifecycle emails + refs</t>
  </si>
  <si>
    <t xml:space="preserve">[FB-XXXX] reference code in subject/body of all three system emails; automatic 'shipped' email on status transition (plain-language copy, BUG vs FEATURE variants, once-ever via shippedNotifiedAt stamp); 'Notified' badge in admin; silent declines by design.</t>
  </si>
  <si>
    <t xml:space="preserve">Push pending</t>
  </si>
  <si>
    <t xml:space="preserve">2e2b977, dd5af5a, 0280989</t>
  </si>
  <si>
    <t xml:space="preserve">Admin feedback workspace</t>
  </si>
  <si>
    <t xml:space="preserve">Five filter tabs (Active default / Shipped / Declined / Archived / All) with count badges; reversible archive (archivedAt) that never touches public roadmap; submitter line with Find in Gmail (ref search) as the sole reply path; mailto removed.</t>
  </si>
  <si>
    <t xml:space="preserve">Tabs deployed; Gmail/Reply changes push pending</t>
  </si>
  <si>
    <t xml:space="preserve">d436834, 64771ed, 3500328</t>
  </si>
  <si>
    <t xml:space="preserve">MESA-10 multi-action modify</t>
  </si>
  <si>
    <t xml:space="preserve">Server-parsed actions[], per-action Apply cards with persisted applied state, Apply-all, deterministic strip of model 'applied' claims, state-aware model-bound history. Closes AI-MODIFY-1.</t>
  </si>
  <si>
    <t xml:space="preserve">Packing list system</t>
  </si>
  <si>
    <t xml:space="preserve">Persistence (PUT + debounced saves), per-item remove, regenerate carry-over of checks, blank-checklist PDF export (PackingListPDF, TripPDF pattern), one-button-per-state UI with regenerate confirm, empty-generation 502 guard.</t>
  </si>
  <si>
    <t xml:space="preserve">fd58085, 3851ca3</t>
  </si>
  <si>
    <t xml:space="preserve">PDF Pro gate</t>
  </si>
  <si>
    <t xml:space="preserve">pdfExport enforced on all three PDF surfaces for the first time; paywall opens cleanly on 403.</t>
  </si>
  <si>
    <t xml:space="preserve">Trip card lifecycle dates</t>
  </si>
  <si>
    <t xml:space="preserve">'Started &lt;date&gt; - Edited &lt;relative&gt;' bottom row on dashboard cards; 'Created &lt;date&gt;' on trip detail header.</t>
  </si>
  <si>
    <t xml:space="preserve">a6c6436</t>
  </si>
  <si>
    <t xml:space="preserve">Plain-language customer copy</t>
  </si>
  <si>
    <t xml:space="preserve">Shipped email rewritten without dev jargon (fixed/built/available, 'Happy travels' sign-off); public roadmap third column relabeled 'Completed'; Help page blurb aligned.</t>
  </si>
  <si>
    <t xml:space="preserve">0280989, 98b791e</t>
  </si>
  <si>
    <t xml:space="preserve">Backlog and open items</t>
  </si>
  <si>
    <t xml:space="preserve">Priority</t>
  </si>
  <si>
    <t xml:space="preserve">Item</t>
  </si>
  <si>
    <t xml:space="preserve">Notes</t>
  </si>
  <si>
    <t xml:space="preserve">1 - First</t>
  </si>
  <si>
    <t xml:space="preserve">Push pending batches (save-progress.bat)</t>
  </si>
  <si>
    <t xml:space="preserve">Everything from packing persistence onward is local-only. AI-PACK-1's silent-empty bug IS live on prod (a user regenerate could wipe a list) - push before other work. Verify with: git log origin/main..main.</t>
  </si>
  <si>
    <t xml:space="preserve">Review CC's overnight report</t>
  </si>
  <si>
    <t xml:space="preserve">Worktree cleanup (~40 stale .claude/worktrees + merged feature trees) and the one-time repo-wide EOL renormalize were assigned overnight. Confirm renormalize commit is clean (diff --ignore-cr-at-eol empty) and npm run preflight passes before pushing.</t>
  </si>
  <si>
    <t xml:space="preserve">2 - High</t>
  </si>
  <si>
    <t xml:space="preserve">Prod verifications after push</t>
  </si>
  <si>
    <t xml:space="preserve">Packing generate on a meaty prod trip (the known truncation shape); packing check-and-return persistence; one shipped-flip to confirm the plain-language email sends from prod; paywall behavior on PDF buttons as a free user.</t>
  </si>
  <si>
    <t xml:space="preserve">Confirm Cindy's trip re-run</t>
  </si>
  <si>
    <t xml:space="preserve">Her Mesa-Niagara itinerary should now have the honest return route (Toledo - Kansas City - Albuquerque - Mesa). Verify it happened post-MESA-10; re-run if not.</t>
  </si>
  <si>
    <t xml:space="preserve">3 - Pre-launch</t>
  </si>
  <si>
    <t xml:space="preserve">Render cold start mitigation</t>
  </si>
  <si>
    <t xml:space="preserve">Prod request observed at 50.88s (service sleeping). Keep-alive ping or always-on tier before launch. Add to LAUNCH_STATUS.md.</t>
  </si>
  <si>
    <t xml:space="preserve">LAUNCH_STATUS.md update</t>
  </si>
  <si>
    <t xml:space="preserve">Record: feedback pipeline shipped, FROM_EMAIL display name set ('RoamReady &lt;noreply@send.roamready.ai&gt;'), PDF gate enforced, cold-start item.</t>
  </si>
  <si>
    <t xml:space="preserve">4 - Polish</t>
  </si>
  <si>
    <t xml:space="preserve">Packing generation progress UI</t>
  </si>
  <si>
    <t xml:space="preserve">Generation honestly takes ~10-15s of AI authoring; show 'Building your list - about 15 seconds' instead of a bare spinner.</t>
  </si>
  <si>
    <t xml:space="preserve">Add-your-own packing item</t>
  </si>
  <si>
    <t xml:space="preserve">PUT endpoint already supports it; small client addition (e.g. 'Cindy's medication', 'dog ramp').</t>
  </si>
  <si>
    <t xml:space="preserve">Roadmap-page feedback modal default type</t>
  </si>
  <si>
    <t xml:space="preserve">Default Type to Feature Request when opened from the roadmap page; one-line tweak.</t>
  </si>
  <si>
    <t xml:space="preserve">Duplicate-card 'Try again' dead end</t>
  </si>
  <si>
    <t xml:space="preserve">Deterministic rejections (duplicate stop) could offer Dismiss instead of a retry that can never succeed.</t>
  </si>
  <si>
    <t xml:space="preserve">Admin type filter</t>
  </si>
  <si>
    <t xml:space="preserve">Old mixed status+type chips were replaced by status tabs; re-add a type dropdown inside tabs if bug-vs-feature filtering is missed.</t>
  </si>
  <si>
    <t xml:space="preserve">5 - Someday</t>
  </si>
  <si>
    <t xml:space="preserve">Declined-email revisit</t>
  </si>
  <si>
    <t xml:space="preserve">Declines are silent by design today; machinery exists if an automated gentle 'no' is ever wanted.</t>
  </si>
  <si>
    <t xml:space="preserve">Packing PDF 'current progress' variant</t>
  </si>
  <si>
    <t xml:space="preserve">Blank checklist is the shipped default; a packed-state printout is a small variant if users ask.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</si>
</sst>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8B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A32D2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FCEBEB"/>
        <bgColor rgb="FFFAEEDA"/>
      </patternFill>
    </fill>
    <fill>
      <patternFill patternType="solid">
        <fgColor rgb="FFE1F5EE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1EFE8"/>
        <bgColor rgb="FFEAF3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CCCCC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57.45" hidden="false" customHeight="false" outlineLevel="0" collapsed="false">
      <c r="A5" s="4" t="s">
        <v>9</v>
      </c>
      <c r="B5" s="5" t="s">
        <v>10</v>
      </c>
      <c r="C5" s="6" t="s">
        <v>11</v>
      </c>
      <c r="D5" s="5" t="s">
        <v>12</v>
      </c>
      <c r="E5" s="7" t="s">
        <v>13</v>
      </c>
      <c r="F5" s="5" t="s">
        <v>14</v>
      </c>
      <c r="G5" s="5" t="s">
        <v>15</v>
      </c>
    </row>
    <row r="6" customFormat="false" ht="23.85" hidden="false" customHeight="false" outlineLevel="0" collapsed="false">
      <c r="A6" s="4" t="s">
        <v>16</v>
      </c>
      <c r="B6" s="5" t="s">
        <v>17</v>
      </c>
      <c r="C6" s="8" t="s">
        <v>18</v>
      </c>
      <c r="D6" s="5" t="s">
        <v>19</v>
      </c>
      <c r="E6" s="7" t="s">
        <v>13</v>
      </c>
      <c r="F6" s="5" t="s">
        <v>20</v>
      </c>
      <c r="G6" s="5" t="s">
        <v>21</v>
      </c>
    </row>
    <row r="7" customFormat="false" ht="46.25" hidden="false" customHeight="false" outlineLevel="0" collapsed="false">
      <c r="A7" s="4" t="s">
        <v>22</v>
      </c>
      <c r="B7" s="5" t="s">
        <v>23</v>
      </c>
      <c r="C7" s="6" t="s">
        <v>11</v>
      </c>
      <c r="D7" s="5" t="s">
        <v>24</v>
      </c>
      <c r="E7" s="7" t="s">
        <v>13</v>
      </c>
      <c r="F7" s="5" t="s">
        <v>25</v>
      </c>
      <c r="G7" s="5" t="s">
        <v>26</v>
      </c>
    </row>
    <row r="8" customFormat="false" ht="35.05" hidden="false" customHeight="false" outlineLevel="0" collapsed="false">
      <c r="A8" s="4" t="s">
        <v>27</v>
      </c>
      <c r="B8" s="5" t="s">
        <v>28</v>
      </c>
      <c r="C8" s="9" t="s">
        <v>29</v>
      </c>
      <c r="D8" s="5" t="s">
        <v>24</v>
      </c>
      <c r="E8" s="7" t="s">
        <v>13</v>
      </c>
      <c r="F8" s="5" t="s">
        <v>30</v>
      </c>
      <c r="G8" s="5" t="s">
        <v>31</v>
      </c>
    </row>
    <row r="9" customFormat="false" ht="57.45" hidden="false" customHeight="false" outlineLevel="0" collapsed="false">
      <c r="A9" s="4" t="s">
        <v>32</v>
      </c>
      <c r="B9" s="5" t="s">
        <v>33</v>
      </c>
      <c r="C9" s="6" t="s">
        <v>11</v>
      </c>
      <c r="D9" s="5" t="s">
        <v>34</v>
      </c>
      <c r="E9" s="7" t="s">
        <v>13</v>
      </c>
      <c r="F9" s="5" t="s">
        <v>35</v>
      </c>
      <c r="G9" s="5" t="s">
        <v>36</v>
      </c>
    </row>
    <row r="10" customFormat="false" ht="46.25" hidden="false" customHeight="false" outlineLevel="0" collapsed="false">
      <c r="A10" s="4" t="s">
        <v>37</v>
      </c>
      <c r="B10" s="5" t="s">
        <v>38</v>
      </c>
      <c r="C10" s="6" t="s">
        <v>11</v>
      </c>
      <c r="D10" s="5" t="s">
        <v>19</v>
      </c>
      <c r="E10" s="10" t="s">
        <v>39</v>
      </c>
      <c r="F10" s="5" t="s">
        <v>40</v>
      </c>
      <c r="G10" s="5" t="s">
        <v>41</v>
      </c>
    </row>
    <row r="11" customFormat="false" ht="46.25" hidden="false" customHeight="false" outlineLevel="0" collapsed="false">
      <c r="A11" s="4" t="s">
        <v>42</v>
      </c>
      <c r="B11" s="5" t="s">
        <v>43</v>
      </c>
      <c r="C11" s="6" t="s">
        <v>11</v>
      </c>
      <c r="D11" s="5" t="s">
        <v>44</v>
      </c>
      <c r="E11" s="10" t="s">
        <v>39</v>
      </c>
      <c r="F11" s="5" t="s">
        <v>45</v>
      </c>
      <c r="G11" s="5" t="s">
        <v>46</v>
      </c>
    </row>
    <row r="12" customFormat="false" ht="35.05" hidden="false" customHeight="false" outlineLevel="0" collapsed="false">
      <c r="A12" s="4" t="s">
        <v>47</v>
      </c>
      <c r="B12" s="5" t="s">
        <v>48</v>
      </c>
      <c r="C12" s="9" t="s">
        <v>49</v>
      </c>
      <c r="D12" s="5" t="s">
        <v>50</v>
      </c>
      <c r="E12" s="10" t="s">
        <v>39</v>
      </c>
      <c r="F12" s="5" t="s">
        <v>51</v>
      </c>
      <c r="G12" s="5" t="s">
        <v>52</v>
      </c>
    </row>
    <row r="13" customFormat="false" ht="35.05" hidden="false" customHeight="false" outlineLevel="0" collapsed="false">
      <c r="A13" s="4" t="s">
        <v>53</v>
      </c>
      <c r="B13" s="5" t="s">
        <v>54</v>
      </c>
      <c r="C13" s="8" t="s">
        <v>18</v>
      </c>
      <c r="D13" s="5" t="s">
        <v>44</v>
      </c>
      <c r="E13" s="10" t="s">
        <v>39</v>
      </c>
      <c r="F13" s="5" t="s">
        <v>55</v>
      </c>
      <c r="G13" s="5" t="s">
        <v>56</v>
      </c>
    </row>
    <row r="14" customFormat="false" ht="23.85" hidden="false" customHeight="false" outlineLevel="0" collapsed="false">
      <c r="A14" s="4" t="s">
        <v>57</v>
      </c>
      <c r="B14" s="5" t="s">
        <v>58</v>
      </c>
      <c r="C14" s="8" t="s">
        <v>18</v>
      </c>
      <c r="D14" s="5" t="s">
        <v>59</v>
      </c>
      <c r="E14" s="10" t="s">
        <v>39</v>
      </c>
      <c r="F14" s="5" t="s">
        <v>60</v>
      </c>
      <c r="G14" s="5" t="s">
        <v>61</v>
      </c>
    </row>
    <row r="15" customFormat="false" ht="35.05" hidden="false" customHeight="false" outlineLevel="0" collapsed="false">
      <c r="A15" s="4" t="s">
        <v>62</v>
      </c>
      <c r="B15" s="5" t="s">
        <v>63</v>
      </c>
      <c r="C15" s="8" t="s">
        <v>18</v>
      </c>
      <c r="D15" s="5" t="s">
        <v>44</v>
      </c>
      <c r="E15" s="10" t="s">
        <v>39</v>
      </c>
      <c r="F15" s="5" t="s">
        <v>64</v>
      </c>
      <c r="G15" s="5" t="s">
        <v>41</v>
      </c>
    </row>
    <row r="16" customFormat="false" ht="35.05" hidden="false" customHeight="false" outlineLevel="0" collapsed="false">
      <c r="A16" s="4" t="s">
        <v>65</v>
      </c>
      <c r="B16" s="5" t="s">
        <v>66</v>
      </c>
      <c r="C16" s="8" t="s">
        <v>18</v>
      </c>
      <c r="D16" s="5" t="s">
        <v>44</v>
      </c>
      <c r="E16" s="11" t="s">
        <v>67</v>
      </c>
      <c r="F16" s="5" t="s">
        <v>68</v>
      </c>
      <c r="G16" s="5" t="s">
        <v>69</v>
      </c>
    </row>
    <row r="19" customFormat="false" ht="15" hidden="false" customHeight="false" outlineLevel="0" collapsed="false">
      <c r="A19" s="12" t="s">
        <v>70</v>
      </c>
    </row>
    <row r="20" customFormat="false" ht="15" hidden="false" customHeight="false" outlineLevel="0" collapsed="false">
      <c r="A20" s="13" t="s">
        <v>71</v>
      </c>
      <c r="B20" s="12" t="n">
        <f aca="false">COUNTA(A5:A16)</f>
        <v>12</v>
      </c>
    </row>
    <row r="21" customFormat="false" ht="15" hidden="false" customHeight="false" outlineLevel="0" collapsed="false">
      <c r="A21" s="13" t="s">
        <v>13</v>
      </c>
      <c r="B21" s="12" t="n">
        <f aca="false">COUNTIF(E5:E16,"Fixed - deployed")</f>
        <v>5</v>
      </c>
    </row>
    <row r="22" customFormat="false" ht="15" hidden="false" customHeight="false" outlineLevel="0" collapsed="false">
      <c r="A22" s="13" t="s">
        <v>39</v>
      </c>
      <c r="B22" s="12" t="n">
        <f aca="false">COUNTIF(E5:E16,"Fixed - push pending")</f>
        <v>6</v>
      </c>
    </row>
    <row r="23" customFormat="false" ht="15" hidden="false" customHeight="false" outlineLevel="0" collapsed="false">
      <c r="A23" s="13" t="s">
        <v>67</v>
      </c>
      <c r="B23" s="12" t="n">
        <f aca="false">COUNTIF(E5:E16,"Closed - by design")</f>
        <v>1</v>
      </c>
    </row>
    <row r="24" customFormat="false" ht="15" hidden="false" customHeight="false" outlineLevel="0" collapsed="false">
      <c r="A24" s="13" t="s">
        <v>72</v>
      </c>
      <c r="B24" s="12" t="n">
        <f aca="false">COUNTIF(C5:C16,"High")</f>
        <v>5</v>
      </c>
    </row>
    <row r="26" customFormat="false" ht="15" hidden="false" customHeight="false" outlineLevel="0" collapsed="false">
      <c r="A26" s="1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8"/>
    <col collapsed="false" customWidth="true" hidden="false" outlineLevel="0" max="3" min="3" style="0" width="2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74</v>
      </c>
    </row>
    <row r="3" customFormat="false" ht="15" hidden="false" customHeight="false" outlineLevel="0" collapsed="false">
      <c r="A3" s="15" t="s">
        <v>75</v>
      </c>
      <c r="B3" s="15" t="s">
        <v>76</v>
      </c>
      <c r="C3" s="15" t="s">
        <v>6</v>
      </c>
      <c r="D3" s="15" t="s">
        <v>8</v>
      </c>
    </row>
    <row r="4" customFormat="false" ht="46.25" hidden="false" customHeight="false" outlineLevel="0" collapsed="false">
      <c r="A4" s="5" t="s">
        <v>77</v>
      </c>
      <c r="B4" s="5" t="s">
        <v>78</v>
      </c>
      <c r="C4" s="5" t="s">
        <v>79</v>
      </c>
      <c r="D4" s="5" t="s">
        <v>80</v>
      </c>
    </row>
    <row r="5" customFormat="false" ht="35.05" hidden="false" customHeight="false" outlineLevel="0" collapsed="false">
      <c r="A5" s="5" t="s">
        <v>81</v>
      </c>
      <c r="B5" s="5" t="s">
        <v>82</v>
      </c>
      <c r="C5" s="5" t="s">
        <v>83</v>
      </c>
      <c r="D5" s="5" t="s">
        <v>84</v>
      </c>
    </row>
    <row r="6" customFormat="false" ht="35.05" hidden="false" customHeight="false" outlineLevel="0" collapsed="false">
      <c r="A6" s="5" t="s">
        <v>85</v>
      </c>
      <c r="B6" s="5" t="s">
        <v>86</v>
      </c>
      <c r="C6" s="5" t="s">
        <v>87</v>
      </c>
      <c r="D6" s="5" t="s">
        <v>88</v>
      </c>
    </row>
    <row r="7" customFormat="false" ht="35.05" hidden="false" customHeight="false" outlineLevel="0" collapsed="false">
      <c r="A7" s="5" t="s">
        <v>89</v>
      </c>
      <c r="B7" s="5" t="s">
        <v>90</v>
      </c>
      <c r="C7" s="5" t="s">
        <v>79</v>
      </c>
      <c r="D7" s="5" t="s">
        <v>15</v>
      </c>
    </row>
    <row r="8" customFormat="false" ht="35.05" hidden="false" customHeight="false" outlineLevel="0" collapsed="false">
      <c r="A8" s="5" t="s">
        <v>91</v>
      </c>
      <c r="B8" s="5" t="s">
        <v>92</v>
      </c>
      <c r="C8" s="5" t="s">
        <v>83</v>
      </c>
      <c r="D8" s="5" t="s">
        <v>93</v>
      </c>
    </row>
    <row r="9" customFormat="false" ht="15" hidden="false" customHeight="false" outlineLevel="0" collapsed="false">
      <c r="A9" s="5" t="s">
        <v>94</v>
      </c>
      <c r="B9" s="5" t="s">
        <v>95</v>
      </c>
      <c r="C9" s="5" t="s">
        <v>83</v>
      </c>
      <c r="D9" s="5" t="s">
        <v>52</v>
      </c>
    </row>
    <row r="10" customFormat="false" ht="23.85" hidden="false" customHeight="false" outlineLevel="0" collapsed="false">
      <c r="A10" s="5" t="s">
        <v>96</v>
      </c>
      <c r="B10" s="5" t="s">
        <v>97</v>
      </c>
      <c r="C10" s="5" t="s">
        <v>79</v>
      </c>
      <c r="D10" s="5" t="s">
        <v>98</v>
      </c>
    </row>
    <row r="11" customFormat="false" ht="23.85" hidden="false" customHeight="false" outlineLevel="0" collapsed="false">
      <c r="A11" s="5" t="s">
        <v>99</v>
      </c>
      <c r="B11" s="5" t="s">
        <v>100</v>
      </c>
      <c r="C11" s="5" t="s">
        <v>83</v>
      </c>
      <c r="D11" s="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88"/>
  </cols>
  <sheetData>
    <row r="1" customFormat="false" ht="17.35" hidden="false" customHeight="false" outlineLevel="0" collapsed="false">
      <c r="A1" s="1" t="s">
        <v>102</v>
      </c>
    </row>
    <row r="3" customFormat="false" ht="15" hidden="false" customHeight="false" outlineLevel="0" collapsed="false">
      <c r="A3" s="15" t="s">
        <v>103</v>
      </c>
      <c r="B3" s="15" t="s">
        <v>104</v>
      </c>
      <c r="C3" s="15" t="s">
        <v>105</v>
      </c>
    </row>
    <row r="4" customFormat="false" ht="23.85" hidden="false" customHeight="false" outlineLevel="0" collapsed="false">
      <c r="A4" s="5" t="s">
        <v>106</v>
      </c>
      <c r="B4" s="5" t="s">
        <v>107</v>
      </c>
      <c r="C4" s="5" t="s">
        <v>108</v>
      </c>
    </row>
    <row r="5" customFormat="false" ht="35.05" hidden="false" customHeight="false" outlineLevel="0" collapsed="false">
      <c r="A5" s="5" t="s">
        <v>106</v>
      </c>
      <c r="B5" s="5" t="s">
        <v>109</v>
      </c>
      <c r="C5" s="5" t="s">
        <v>110</v>
      </c>
    </row>
    <row r="6" customFormat="false" ht="35.05" hidden="false" customHeight="false" outlineLevel="0" collapsed="false">
      <c r="A6" s="5" t="s">
        <v>111</v>
      </c>
      <c r="B6" s="5" t="s">
        <v>112</v>
      </c>
      <c r="C6" s="5" t="s">
        <v>113</v>
      </c>
    </row>
    <row r="7" customFormat="false" ht="23.85" hidden="false" customHeight="false" outlineLevel="0" collapsed="false">
      <c r="A7" s="5" t="s">
        <v>111</v>
      </c>
      <c r="B7" s="5" t="s">
        <v>114</v>
      </c>
      <c r="C7" s="5" t="s">
        <v>115</v>
      </c>
    </row>
    <row r="8" customFormat="false" ht="23.85" hidden="false" customHeight="false" outlineLevel="0" collapsed="false">
      <c r="A8" s="5" t="s">
        <v>116</v>
      </c>
      <c r="B8" s="5" t="s">
        <v>117</v>
      </c>
      <c r="C8" s="5" t="s">
        <v>118</v>
      </c>
    </row>
    <row r="9" customFormat="false" ht="23.85" hidden="false" customHeight="false" outlineLevel="0" collapsed="false">
      <c r="A9" s="5" t="s">
        <v>116</v>
      </c>
      <c r="B9" s="5" t="s">
        <v>119</v>
      </c>
      <c r="C9" s="5" t="s">
        <v>120</v>
      </c>
    </row>
    <row r="10" customFormat="false" ht="23.85" hidden="false" customHeight="false" outlineLevel="0" collapsed="false">
      <c r="A10" s="5" t="s">
        <v>121</v>
      </c>
      <c r="B10" s="5" t="s">
        <v>122</v>
      </c>
      <c r="C10" s="5" t="s">
        <v>123</v>
      </c>
    </row>
    <row r="11" customFormat="false" ht="15" hidden="false" customHeight="false" outlineLevel="0" collapsed="false">
      <c r="A11" s="5" t="s">
        <v>121</v>
      </c>
      <c r="B11" s="5" t="s">
        <v>124</v>
      </c>
      <c r="C11" s="5" t="s">
        <v>125</v>
      </c>
    </row>
    <row r="12" customFormat="false" ht="15" hidden="false" customHeight="false" outlineLevel="0" collapsed="false">
      <c r="A12" s="5" t="s">
        <v>121</v>
      </c>
      <c r="B12" s="5" t="s">
        <v>126</v>
      </c>
      <c r="C12" s="5" t="s">
        <v>127</v>
      </c>
    </row>
    <row r="13" customFormat="false" ht="15" hidden="false" customHeight="false" outlineLevel="0" collapsed="false">
      <c r="A13" s="5" t="s">
        <v>121</v>
      </c>
      <c r="B13" s="5" t="s">
        <v>128</v>
      </c>
      <c r="C13" s="5" t="s">
        <v>129</v>
      </c>
    </row>
    <row r="14" customFormat="false" ht="23.85" hidden="false" customHeight="false" outlineLevel="0" collapsed="false">
      <c r="A14" s="5" t="s">
        <v>121</v>
      </c>
      <c r="B14" s="5" t="s">
        <v>130</v>
      </c>
      <c r="C14" s="5" t="s">
        <v>131</v>
      </c>
    </row>
    <row r="15" customFormat="false" ht="15" hidden="false" customHeight="false" outlineLevel="0" collapsed="false">
      <c r="A15" s="5" t="s">
        <v>132</v>
      </c>
      <c r="B15" s="5" t="s">
        <v>133</v>
      </c>
      <c r="C15" s="5" t="s">
        <v>134</v>
      </c>
    </row>
    <row r="16" customFormat="false" ht="15" hidden="false" customHeight="false" outlineLevel="0" collapsed="false">
      <c r="A16" s="5" t="s">
        <v>132</v>
      </c>
      <c r="B16" s="5" t="s">
        <v>135</v>
      </c>
      <c r="C16" s="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2026-06-12T08:05:50Z</dcterms:created>
  <dc:creator>openpyxl</dc:creator>
  <dc:description/>
  <dc:language>en-US</dc:language>
  <cp:lastModifiedBy/>
  <dcterms:modified xsi:type="dcterms:W3CDTF">2026-06-12T08:05:50Z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